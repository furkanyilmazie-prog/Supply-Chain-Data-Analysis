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darik Zinciri Projesi ve CV F" sheetId="1" r:id="rId5"/>
    <sheet state="visible" name="Pivot Tablo 1" sheetId="2" r:id="rId6"/>
  </sheets>
  <definedNames>
    <definedName hidden="1" localSheetId="0" name="Z_BA86293A_6E21_4B57_9EF3_716588DFB281_.wvu.FilterData">'Tedarik Zinciri Projesi ve CV F'!$A$1:$M$26</definedName>
    <definedName name="SlicerCache_Table_1_Col_8">#N/A</definedName>
  </definedNames>
  <calcPr/>
  <customWorkbookViews>
    <customWorkbookView activeSheetId="0" maximized="1" windowHeight="0" windowWidth="0" guid="{BA86293A-6E21-4B57-9EF3-716588DFB281}" name="Filtre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<sst xmlns="http://schemas.openxmlformats.org/spreadsheetml/2006/main" count="150" uniqueCount="64">
  <si>
    <t>Sipariş_No</t>
  </si>
  <si>
    <t>Tarih</t>
  </si>
  <si>
    <t>Tedarikçi_ID</t>
  </si>
  <si>
    <t>Ürün_Kodu</t>
  </si>
  <si>
    <t>Sipariş_Miktarı</t>
  </si>
  <si>
    <t>Birim_Fiyat</t>
  </si>
  <si>
    <t>Termin_Süresi_Gün</t>
  </si>
  <si>
    <t>Teslim_Durumu</t>
  </si>
  <si>
    <t>Kalite_Puanı</t>
  </si>
  <si>
    <t>Kategori</t>
  </si>
  <si>
    <t>Karne</t>
  </si>
  <si>
    <t>Risk Durumu</t>
  </si>
  <si>
    <t>Sipariş Tutarı</t>
  </si>
  <si>
    <t xml:space="preserve"> </t>
  </si>
  <si>
    <t>Metal ve Zamanında Gelenler Toplamı</t>
  </si>
  <si>
    <t>PO-101</t>
  </si>
  <si>
    <t>T-01</t>
  </si>
  <si>
    <t>SR-50</t>
  </si>
  <si>
    <t>Zamanında</t>
  </si>
  <si>
    <t>Metal</t>
  </si>
  <si>
    <t>PO-102</t>
  </si>
  <si>
    <t>T-02</t>
  </si>
  <si>
    <t>SR-20</t>
  </si>
  <si>
    <t>Gecikmeli</t>
  </si>
  <si>
    <t>Plastik</t>
  </si>
  <si>
    <t>PO-103</t>
  </si>
  <si>
    <t>T-03</t>
  </si>
  <si>
    <t>SR-10</t>
  </si>
  <si>
    <t>Hammadde</t>
  </si>
  <si>
    <t>PO-104</t>
  </si>
  <si>
    <t>T-04</t>
  </si>
  <si>
    <t>Elektronik</t>
  </si>
  <si>
    <t>PO-105</t>
  </si>
  <si>
    <t>SR-80</t>
  </si>
  <si>
    <t>T-05</t>
  </si>
  <si>
    <t>Kimyasal</t>
  </si>
  <si>
    <t>PO-106</t>
  </si>
  <si>
    <t>PO-107</t>
  </si>
  <si>
    <t>PO-108</t>
  </si>
  <si>
    <t>PO-109</t>
  </si>
  <si>
    <t>SR-99</t>
  </si>
  <si>
    <t>PO-110</t>
  </si>
  <si>
    <t>PO-111</t>
  </si>
  <si>
    <t>PO-112</t>
  </si>
  <si>
    <t>PO-113</t>
  </si>
  <si>
    <t>PO-114</t>
  </si>
  <si>
    <t>PO-115</t>
  </si>
  <si>
    <t>PO-116</t>
  </si>
  <si>
    <t>PO-117</t>
  </si>
  <si>
    <t>PO-118</t>
  </si>
  <si>
    <t>PO-119</t>
  </si>
  <si>
    <t>PO-120</t>
  </si>
  <si>
    <t>Kritik Gecikme</t>
  </si>
  <si>
    <t>PO-121</t>
  </si>
  <si>
    <t>PO-122</t>
  </si>
  <si>
    <t>PO-123</t>
  </si>
  <si>
    <t>PO-124</t>
  </si>
  <si>
    <t>PO-125</t>
  </si>
  <si>
    <t>SUM / Sipariş Tutarı</t>
  </si>
  <si>
    <t>A Sınıfı</t>
  </si>
  <si>
    <t>B Sınıfı</t>
  </si>
  <si>
    <t>C Sınıfı</t>
  </si>
  <si>
    <t>D Sınıfı</t>
  </si>
  <si>
    <t>Genel Toplam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</si>
</sst>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TRY-41F]"/>
    <numFmt numFmtId="165" formatCode="dd.mm.yyyy"/>
  </numFmts>
  <fonts count="4">
    <font>
      <sz val="10.0"/>
      <color rgb="FF000000"/>
      <name val="Arial"/>
      <scheme val="minor"/>
    </font>
    <font>
      <color theme="1"/>
      <name val="Arial"/>
      <scheme val="minor"/>
    </font>
    <font>
      <color rgb="FF1F1F1F"/>
      <name val="&quot;Google Sans Text&quot;"/>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Font="1"/>
    <xf borderId="0" fillId="0" fontId="3"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1" numFmtId="164" xfId="0" applyFont="1" applyNumberFormat="1"/>
  </cellXfs>
  <cellStyles count="1">
    <cellStyle xfId="0" name="Normal" builtinId="0"/>
  </cellStyles>
  <dxfs count="3">
    <dxf>
      <font/>
      <fill>
        <patternFill patternType="none"/>
      </fill>
      <border/>
    </dxf>
    <dxf>
      <font>
        <b/>
        <color rgb="FFFFFFFF"/>
      </font>
      <fill>
        <patternFill patternType="solid">
          <fgColor rgb="FFE06666"/>
          <bgColor rgb="FFE0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1181100</xdr:colOff>
      <xdr:row>9</xdr:row>
      <xdr:rowOff>9525</xdr:rowOff>
    </xdr:from>
    <xdr:ext cx="3476625" cy="2152650"/>
    <xdr:pic>
      <xdr:nvPicPr>
        <xdr:cNvPr id="576334377" name="Chart1" title="Grafik">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209550</xdr:colOff>
      <xdr:row>0</xdr:row>
      <xdr:rowOff>76200</xdr:rowOff>
    </xdr:from>
    <xdr:ext cx="2857500" cy="2857500"/>
    <mc:AlternateContent>
      <mc:Choice Requires="sle15">
        <xdr:graphicFrame>
          <xdr:nvGraphicFramePr>
            <xdr:cNvPr id="1" name="Teslim_Durumu_1"/>
            <xdr:cNvGraphicFramePr/>
          </xdr:nvGraphicFramePr>
          <xdr:xfrm>
            <a:off x="0" y="0"/>
            <a:ext cx="0" cy="0"/>
          </xdr:xfrm>
          <a:graphic>
            <a:graphicData uri="http://schemas.microsoft.com/office/drawing/2010/slicer">
              <x3Unk:slicer name="Teslim_Durumu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0" sheet="Tedarik Zinciri Projesi ve CV F"/>
  </cacheSource>
  <cacheFields>
    <cacheField name="Sipariş_No" numFmtId="0">
      <sharedItems containsBlank="1">
        <s v="PO-101"/>
        <s v="PO-102"/>
        <s v="PO-103"/>
        <s v="PO-104"/>
        <s v="PO-105"/>
        <s v="PO-106"/>
        <s v="PO-107"/>
        <s v="PO-108"/>
        <s v="PO-109"/>
        <s v="PO-110"/>
        <s v="PO-111"/>
        <s v="PO-112"/>
        <s v="PO-113"/>
        <s v="PO-114"/>
        <s v="PO-115"/>
        <s v="PO-116"/>
        <s v="PO-117"/>
        <s v="PO-118"/>
        <s v="PO-119"/>
        <s v="PO-120"/>
        <s v="PO-121"/>
        <s v="PO-122"/>
        <s v="PO-123"/>
        <s v="PO-124"/>
        <s v="PO-125"/>
        <m/>
      </sharedItems>
    </cacheField>
    <cacheField name="Tarih" numFmtId="165">
      <sharedItems containsDate="1" containsString="0" containsBlank="1">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8T00:00:00Z"/>
        <d v="2026-03-19T00:00:00Z"/>
        <d v="2026-03-20T00:00:00Z"/>
        <d v="2026-03-21T00:00:00Z"/>
        <d v="2026-03-22T00:00:00Z"/>
        <d v="2026-03-23T00:00:00Z"/>
        <d v="2026-03-24T00:00:00Z"/>
        <d v="2026-03-25T00:00:00Z"/>
        <m/>
      </sharedItems>
    </cacheField>
    <cacheField name="Tedarikçi_ID" numFmtId="0">
      <sharedItems containsBlank="1">
        <s v="T-01"/>
        <s v="T-02"/>
        <s v="T-03"/>
        <s v="T-04"/>
        <s v="T-05"/>
        <m/>
      </sharedItems>
    </cacheField>
    <cacheField name="Ürün_Kodu" numFmtId="0">
      <sharedItems containsBlank="1">
        <s v="SR-50"/>
        <s v="SR-20"/>
        <s v="SR-10"/>
        <s v="SR-80"/>
        <s v="SR-99"/>
        <m/>
      </sharedItems>
    </cacheField>
    <cacheField name="Sipariş_Miktarı" numFmtId="0">
      <sharedItems containsString="0" containsBlank="1" containsNumber="1" containsInteger="1">
        <n v="500.0"/>
        <n v="200.0"/>
        <n v="1000.0"/>
        <n v="450.0"/>
        <n v="150.0"/>
        <n v="300.0"/>
        <n v="1200.0"/>
        <n v="600.0"/>
        <n v="50.0"/>
        <n v="250.0"/>
        <n v="900.0"/>
        <n v="550.0"/>
        <n v="80.0"/>
        <n v="350.0"/>
        <n v="1100.0"/>
        <n v="480.0"/>
        <n v="180.0"/>
        <n v="220.0"/>
        <n v="60.0"/>
        <n v="520.0"/>
        <n v="140.0"/>
        <n v="280.0"/>
        <n v="40.0"/>
        <m/>
      </sharedItems>
    </cacheField>
    <cacheField name="Birim_Fiyat" numFmtId="0">
      <sharedItems containsString="0" containsBlank="1" containsNumber="1" containsInteger="1">
        <n v="12.0"/>
        <n v="45.0"/>
        <n v="8.0"/>
        <n v="120.0"/>
        <n v="300.0"/>
        <m/>
      </sharedItems>
    </cacheField>
    <cacheField name="Termin_Süresi_Gün" numFmtId="0">
      <sharedItems containsString="0" containsBlank="1" containsNumber="1" containsInteger="1">
        <n v="5.0"/>
        <n v="12.0"/>
        <n v="3.0"/>
        <n v="7.0"/>
        <n v="15.0"/>
        <n v="10.0"/>
        <n v="4.0"/>
        <n v="20.0"/>
        <n v="14.0"/>
        <n v="2.0"/>
        <n v="6.0"/>
        <n v="18.0"/>
        <n v="9.0"/>
        <n v="11.0"/>
        <n v="25.0"/>
        <n v="16.0"/>
        <n v="8.0"/>
        <n v="22.0"/>
        <m/>
      </sharedItems>
    </cacheField>
    <cacheField name="Teslim_Durumu" numFmtId="0">
      <sharedItems containsBlank="1">
        <s v="Zamanında"/>
        <s v="Gecikmeli"/>
        <s v="Kritik Gecikme"/>
        <m/>
      </sharedItems>
    </cacheField>
    <cacheField name="Kalite_Puanı" numFmtId="0">
      <sharedItems containsString="0" containsBlank="1" containsNumber="1" containsInteger="1">
        <n v="95.0"/>
        <n v="80.0"/>
        <n v="100.0"/>
        <n v="60.0"/>
        <n v="45.0"/>
        <n v="88.0"/>
        <n v="92.0"/>
        <n v="98.0"/>
        <n v="30.0"/>
        <n v="85.0"/>
        <n v="70.0"/>
        <n v="75.0"/>
        <n v="50.0"/>
        <n v="90.0"/>
        <n v="94.0"/>
        <n v="99.0"/>
        <n v="65.0"/>
        <n v="82.0"/>
        <n v="20.0"/>
        <n v="96.0"/>
        <n v="93.0"/>
        <n v="40.0"/>
        <n v="89.0"/>
        <n v="15.0"/>
        <m/>
      </sharedItems>
    </cacheField>
    <cacheField name="Kategori" numFmtId="0">
      <sharedItems containsBlank="1">
        <s v="Metal"/>
        <s v="Plastik"/>
        <s v="Hammadde"/>
        <s v="Elektronik"/>
        <s v="Kimyasal"/>
        <m/>
      </sharedItems>
    </cacheField>
    <cacheField name="Karne" numFmtId="0">
      <sharedItems containsBlank="1">
        <s v="A Sınıfı"/>
        <s v="B Sınıfı"/>
        <s v="C Sınıfı"/>
        <s v="D Sınıfı"/>
        <m/>
      </sharedItems>
    </cacheField>
    <cacheField name="Risk Durumu" numFmtId="0">
      <sharedItems containsBlank="1">
        <s v="Güvenli"/>
        <s v="⚠️ RİSKLİ"/>
        <m/>
      </sharedItems>
    </cacheField>
    <cacheField name="Sipariş Tutarı" numFmtId="164">
      <sharedItems containsString="0" containsBlank="1" containsNumber="1" containsInteger="1">
        <n v="6000.0"/>
        <n v="9000.0"/>
        <n v="8000.0"/>
        <n v="5400.0"/>
        <n v="18000.0"/>
        <n v="13500.0"/>
        <n v="9600.0"/>
        <n v="7200.0"/>
        <n v="15000.0"/>
        <n v="24000.0"/>
        <n v="11250.0"/>
        <n v="6600.0"/>
        <n v="15750.0"/>
        <n v="8800.0"/>
        <n v="5760.0"/>
        <n v="21600.0"/>
        <n v="9900.0"/>
        <n v="6240.0"/>
        <n v="16800.0"/>
        <n v="12600.0"/>
        <n v="12000.0"/>
        <m/>
      </sharedItems>
    </cacheField>
    <cacheField name=" " numFmtId="0">
      <sharedItems containsString="0" containsBlank="1">
        <m/>
      </sharedItems>
    </cacheField>
    <cacheField name=" 2" numFmtId="0">
      <sharedItems containsString="0" containsBlank="1">
        <m/>
      </sharedItems>
    </cacheField>
    <cacheField name="Metal ve Zamanında Gelenler Toplamı" numFmtId="164">
      <sharedItems containsString="0" containsBlank="1" containsNumber="1" containsInteger="1">
        <n v="25200.0"/>
        <m/>
      </sharedItems>
    </cacheField>
    <cacheField name=" 3" numFmtId="0">
      <sharedItems containsString="0" containsBlank="1">
        <m/>
      </sharedItems>
    </cacheField>
    <cacheField name=" 4" numFmtId="0">
      <sharedItems containsString="0" containsBlank="1">
        <m/>
      </sharedItems>
    </cacheField>
    <cacheField name="tedarikçi_id2" numFmtId="0">
      <sharedItems containsBlank="1">
        <s v="T-01"/>
        <s v="T-02"/>
        <s v="T-03"/>
        <s v="T-04"/>
        <s v="T-05"/>
        <m/>
      </sharedItems>
    </cacheField>
    <cacheField name="kategori2" numFmtId="0">
      <sharedItems containsBlank="1">
        <s v="Metal"/>
        <s v="Plastik"/>
        <s v="Hammadde"/>
        <s v="Elektronik"/>
        <s v="Kimyasal"/>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o 1" cacheId="0" dataCaption="" compact="0" compactData="0">
  <location ref="A1:F8" firstHeaderRow="0" firstDataRow="1" firstDataCol="1"/>
  <pivotFields>
    <pivotField name="Sipariş_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arih"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edarikçi_ID" compact="0" outline="0" multipleItemSelectionAllowed="1" showAll="0">
      <items>
        <item x="0"/>
        <item x="1"/>
        <item x="2"/>
        <item x="3"/>
        <item x="4"/>
        <item x="5"/>
        <item t="default"/>
      </items>
    </pivotField>
    <pivotField name="Ürün_Kodu" compact="0" outline="0" multipleItemSelectionAllowed="1" showAll="0">
      <items>
        <item x="0"/>
        <item x="1"/>
        <item x="2"/>
        <item x="3"/>
        <item x="4"/>
        <item x="5"/>
        <item t="default"/>
      </items>
    </pivotField>
    <pivotField name="Sipariş_Miktarı"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Birim_Fiyat" compact="0" outline="0" multipleItemSelectionAllowed="1" showAll="0">
      <items>
        <item x="0"/>
        <item x="1"/>
        <item x="2"/>
        <item x="3"/>
        <item x="4"/>
        <item x="5"/>
        <item t="default"/>
      </items>
    </pivotField>
    <pivotField name="Termin_Süresi_Gün" compact="0" outline="0" multipleItemSelectionAllowed="1" showAll="0">
      <items>
        <item x="0"/>
        <item x="1"/>
        <item x="2"/>
        <item x="3"/>
        <item x="4"/>
        <item x="5"/>
        <item x="6"/>
        <item x="7"/>
        <item x="8"/>
        <item x="9"/>
        <item x="10"/>
        <item x="11"/>
        <item x="12"/>
        <item x="13"/>
        <item x="14"/>
        <item x="15"/>
        <item x="16"/>
        <item x="17"/>
        <item x="18"/>
        <item t="default"/>
      </items>
    </pivotField>
    <pivotField name="Teslim_Durumu" compact="0" outline="0" multipleItemSelectionAllowed="1" showAll="0">
      <items>
        <item x="0"/>
        <item x="1"/>
        <item x="2"/>
        <item x="3"/>
        <item t="default"/>
      </items>
    </pivotField>
    <pivotField name="Kalite_Puan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Kategori" axis="axisRow" compact="0" outline="0" multipleItemSelectionAllowed="1" showAll="0" sortType="ascending">
      <items>
        <item h="1" x="5"/>
        <item x="3"/>
        <item x="2"/>
        <item x="4"/>
        <item x="0"/>
        <item x="1"/>
        <item t="default"/>
      </items>
    </pivotField>
    <pivotField name="Karne" axis="axisCol" compact="0" outline="0" multipleItemSelectionAllowed="1" showAll="0" sortType="ascending">
      <items>
        <item x="4"/>
        <item x="0"/>
        <item x="1"/>
        <item x="2"/>
        <item x="3"/>
        <item t="default"/>
      </items>
    </pivotField>
    <pivotField name="Risk Durumu" compact="0" outline="0" multipleItemSelectionAllowed="1" showAll="0">
      <items>
        <item x="0"/>
        <item x="1"/>
        <item x="2"/>
        <item t="default"/>
      </items>
    </pivotField>
    <pivotField name="Sipariş Tutarı"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Metal ve Zamanında Gelenler Toplamı" compact="0" numFmtId="164"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tedarikçi_id2" compact="0" outline="0" multipleItemSelectionAllowed="1" showAll="0">
      <items>
        <item x="0"/>
        <item x="1"/>
        <item x="2"/>
        <item x="3"/>
        <item x="4"/>
        <item x="5"/>
        <item t="default"/>
      </items>
    </pivotField>
    <pivotField name="kategori2" compact="0" outline="0" multipleItemSelectionAllowed="1" showAll="0">
      <items>
        <item x="0"/>
        <item x="1"/>
        <item x="2"/>
        <item x="3"/>
        <item x="4"/>
        <item x="5"/>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s>
  <rowFields>
    <field x="9"/>
  </rowFields>
  <colFields>
    <field x="10"/>
  </colFields>
  <dataFields>
    <dataField name="SUM of Sipariş Tutarı"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Teslim_Durumu">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eslim_Durumu_1" cache="SlicerCache_Table_1_Col_8" caption="Teslim_Durumu" rowHeight="247650"/>
</x14:slicers>
</file>

<file path=xl/tables/table1.xml><?xml version="1.0" encoding="utf-8"?>
<table xmlns="http://schemas.openxmlformats.org/spreadsheetml/2006/main" ref="A1:M26" displayName="Table_1" name="Table_1" id="1">
  <autoFilter ref="$A$1:$M$26"/>
  <tableColumns count="13">
    <tableColumn name="Sipariş_No" id="1"/>
    <tableColumn name="Tarih" id="2"/>
    <tableColumn name="Tedarikçi_ID" id="3"/>
    <tableColumn name="Ürün_Kodu" id="4"/>
    <tableColumn name="Sipariş_Miktarı" id="5"/>
    <tableColumn name="Birim_Fiyat" id="6"/>
    <tableColumn name="Termin_Süresi_Gün" id="7"/>
    <tableColumn name="Teslim_Durumu" id="8"/>
    <tableColumn name="Kalite_Puanı" id="9"/>
    <tableColumn name="Kategori" id="10"/>
    <tableColumn name="Karne" id="11"/>
    <tableColumn name="Risk Durumu" id="12"/>
    <tableColumn name="Sipariş Tutarı" id="1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7" max="7" width="15.75"/>
    <col customWidth="1" min="8" max="8" width="12.63"/>
    <col customWidth="1" min="16" max="16" width="30.75"/>
  </cols>
  <sheetData>
    <row r="1">
      <c r="A1" s="1" t="s">
        <v>0</v>
      </c>
      <c r="B1" s="1" t="s">
        <v>1</v>
      </c>
      <c r="C1" s="1" t="s">
        <v>2</v>
      </c>
      <c r="D1" s="1" t="s">
        <v>3</v>
      </c>
      <c r="E1" s="1" t="s">
        <v>4</v>
      </c>
      <c r="F1" s="1" t="s">
        <v>5</v>
      </c>
      <c r="G1" s="1" t="s">
        <v>6</v>
      </c>
      <c r="H1" s="1" t="s">
        <v>7</v>
      </c>
      <c r="I1" s="1" t="s">
        <v>8</v>
      </c>
      <c r="J1" s="1" t="s">
        <v>9</v>
      </c>
      <c r="K1" s="2" t="s">
        <v>10</v>
      </c>
      <c r="L1" s="2" t="s">
        <v>11</v>
      </c>
      <c r="M1" s="3" t="s">
        <v>12</v>
      </c>
      <c r="N1" s="4" t="s">
        <v>13</v>
      </c>
      <c r="O1" s="4" t="s">
        <v>13</v>
      </c>
      <c r="P1" s="5" t="s">
        <v>14</v>
      </c>
      <c r="Q1" s="4" t="s">
        <v>13</v>
      </c>
      <c r="R1" s="4" t="s">
        <v>13</v>
      </c>
      <c r="S1" s="2" t="s">
        <v>2</v>
      </c>
      <c r="T1" s="2" t="s">
        <v>9</v>
      </c>
      <c r="U1" s="4" t="s">
        <v>13</v>
      </c>
      <c r="V1" s="4" t="s">
        <v>13</v>
      </c>
      <c r="W1" s="4" t="s">
        <v>13</v>
      </c>
      <c r="X1" s="4" t="s">
        <v>13</v>
      </c>
      <c r="Y1" s="4" t="s">
        <v>13</v>
      </c>
      <c r="Z1" s="4" t="s">
        <v>13</v>
      </c>
    </row>
    <row r="2">
      <c r="A2" s="1" t="s">
        <v>15</v>
      </c>
      <c r="B2" s="6">
        <v>46082.0</v>
      </c>
      <c r="C2" s="1" t="s">
        <v>16</v>
      </c>
      <c r="D2" s="1" t="s">
        <v>17</v>
      </c>
      <c r="E2" s="1">
        <v>500.0</v>
      </c>
      <c r="F2" s="1">
        <v>12.0</v>
      </c>
      <c r="G2" s="1">
        <v>5.0</v>
      </c>
      <c r="H2" s="1" t="s">
        <v>18</v>
      </c>
      <c r="I2" s="1">
        <v>95.0</v>
      </c>
      <c r="J2" s="4" t="str">
        <f t="shared" ref="J2:J26" si="1">VLOOKUP(C2, $S$2:$T$6, 2, 0)</f>
        <v>Metal</v>
      </c>
      <c r="K2" s="2" t="str">
        <f t="shared" ref="K2:K26" si="2">IF(I2&gt;=90, "A Sınıfı", IF(I2&gt;=75, "B Sınıfı", IF(I2&gt;=50, "C Sınıfı", "D Sınıfı")))</f>
        <v>A Sınıfı</v>
      </c>
      <c r="L2" s="7" t="str">
        <f t="shared" ref="L2:L26" si="3">IF(AND(G2&gt;10, I2&lt;70), "⚠️ RİSKLİ", "Güvenli")</f>
        <v>Güvenli</v>
      </c>
      <c r="M2" s="3">
        <f t="shared" ref="M2:M26" si="4">E2*F2</f>
        <v>6000</v>
      </c>
      <c r="P2" s="8">
        <f>SUMIFS(M:M, J:J, "Metal", H:H, "Zamanında")</f>
        <v>25200</v>
      </c>
      <c r="S2" s="2" t="s">
        <v>16</v>
      </c>
      <c r="T2" s="2" t="s">
        <v>19</v>
      </c>
    </row>
    <row r="3">
      <c r="A3" s="1" t="s">
        <v>20</v>
      </c>
      <c r="B3" s="6">
        <v>46083.0</v>
      </c>
      <c r="C3" s="1" t="s">
        <v>21</v>
      </c>
      <c r="D3" s="1" t="s">
        <v>22</v>
      </c>
      <c r="E3" s="1">
        <v>200.0</v>
      </c>
      <c r="F3" s="1">
        <v>45.0</v>
      </c>
      <c r="G3" s="1">
        <v>12.0</v>
      </c>
      <c r="H3" s="1" t="s">
        <v>23</v>
      </c>
      <c r="I3" s="1">
        <v>80.0</v>
      </c>
      <c r="J3" s="4" t="str">
        <f t="shared" si="1"/>
        <v>Plastik</v>
      </c>
      <c r="K3" s="2" t="str">
        <f t="shared" si="2"/>
        <v>B Sınıfı</v>
      </c>
      <c r="L3" s="7" t="str">
        <f t="shared" si="3"/>
        <v>Güvenli</v>
      </c>
      <c r="M3" s="3">
        <f t="shared" si="4"/>
        <v>9000</v>
      </c>
      <c r="P3" s="8"/>
      <c r="S3" s="2" t="s">
        <v>21</v>
      </c>
      <c r="T3" s="2" t="s">
        <v>24</v>
      </c>
    </row>
    <row r="4">
      <c r="A4" s="1" t="s">
        <v>25</v>
      </c>
      <c r="B4" s="6">
        <v>46084.0</v>
      </c>
      <c r="C4" s="1" t="s">
        <v>26</v>
      </c>
      <c r="D4" s="1" t="s">
        <v>27</v>
      </c>
      <c r="E4" s="1">
        <v>1000.0</v>
      </c>
      <c r="F4" s="1">
        <v>8.0</v>
      </c>
      <c r="G4" s="1">
        <v>3.0</v>
      </c>
      <c r="H4" s="1" t="s">
        <v>18</v>
      </c>
      <c r="I4" s="1">
        <v>100.0</v>
      </c>
      <c r="J4" s="4" t="str">
        <f t="shared" si="1"/>
        <v>Hammadde</v>
      </c>
      <c r="K4" s="2" t="str">
        <f t="shared" si="2"/>
        <v>A Sınıfı</v>
      </c>
      <c r="L4" s="7" t="str">
        <f t="shared" si="3"/>
        <v>Güvenli</v>
      </c>
      <c r="M4" s="3">
        <f t="shared" si="4"/>
        <v>8000</v>
      </c>
      <c r="P4" s="8"/>
      <c r="S4" s="2" t="s">
        <v>26</v>
      </c>
      <c r="T4" s="2" t="s">
        <v>28</v>
      </c>
    </row>
    <row r="5">
      <c r="A5" s="1" t="s">
        <v>29</v>
      </c>
      <c r="B5" s="6">
        <v>46085.0</v>
      </c>
      <c r="C5" s="1" t="s">
        <v>16</v>
      </c>
      <c r="D5" s="1" t="s">
        <v>17</v>
      </c>
      <c r="E5" s="1">
        <v>450.0</v>
      </c>
      <c r="F5" s="1">
        <v>12.0</v>
      </c>
      <c r="G5" s="1">
        <v>7.0</v>
      </c>
      <c r="H5" s="1" t="s">
        <v>23</v>
      </c>
      <c r="I5" s="1">
        <v>60.0</v>
      </c>
      <c r="J5" s="4" t="str">
        <f t="shared" si="1"/>
        <v>Metal</v>
      </c>
      <c r="K5" s="2" t="str">
        <f t="shared" si="2"/>
        <v>C Sınıfı</v>
      </c>
      <c r="L5" s="7" t="str">
        <f t="shared" si="3"/>
        <v>Güvenli</v>
      </c>
      <c r="M5" s="3">
        <f t="shared" si="4"/>
        <v>5400</v>
      </c>
      <c r="P5" s="8"/>
      <c r="S5" s="2" t="s">
        <v>30</v>
      </c>
      <c r="T5" s="2" t="s">
        <v>31</v>
      </c>
    </row>
    <row r="6">
      <c r="A6" s="1" t="s">
        <v>32</v>
      </c>
      <c r="B6" s="6">
        <v>46086.0</v>
      </c>
      <c r="C6" s="1" t="s">
        <v>30</v>
      </c>
      <c r="D6" s="1" t="s">
        <v>33</v>
      </c>
      <c r="E6" s="1">
        <v>150.0</v>
      </c>
      <c r="F6" s="1">
        <v>120.0</v>
      </c>
      <c r="G6" s="1">
        <v>15.0</v>
      </c>
      <c r="H6" s="1" t="s">
        <v>23</v>
      </c>
      <c r="I6" s="1">
        <v>45.0</v>
      </c>
      <c r="J6" s="4" t="str">
        <f t="shared" si="1"/>
        <v>Elektronik</v>
      </c>
      <c r="K6" s="2" t="str">
        <f t="shared" si="2"/>
        <v>D Sınıfı</v>
      </c>
      <c r="L6" s="7" t="str">
        <f t="shared" si="3"/>
        <v>⚠️ RİSKLİ</v>
      </c>
      <c r="M6" s="3">
        <f t="shared" si="4"/>
        <v>18000</v>
      </c>
      <c r="P6" s="8"/>
      <c r="S6" s="2" t="s">
        <v>34</v>
      </c>
      <c r="T6" s="2" t="s">
        <v>35</v>
      </c>
    </row>
    <row r="7">
      <c r="A7" s="1" t="s">
        <v>36</v>
      </c>
      <c r="B7" s="6">
        <v>46087.0</v>
      </c>
      <c r="C7" s="1" t="s">
        <v>21</v>
      </c>
      <c r="D7" s="1" t="s">
        <v>22</v>
      </c>
      <c r="E7" s="1">
        <v>300.0</v>
      </c>
      <c r="F7" s="1">
        <v>45.0</v>
      </c>
      <c r="G7" s="1">
        <v>10.0</v>
      </c>
      <c r="H7" s="1" t="s">
        <v>18</v>
      </c>
      <c r="I7" s="1">
        <v>88.0</v>
      </c>
      <c r="J7" s="4" t="str">
        <f t="shared" si="1"/>
        <v>Plastik</v>
      </c>
      <c r="K7" s="2" t="str">
        <f t="shared" si="2"/>
        <v>B Sınıfı</v>
      </c>
      <c r="L7" s="7" t="str">
        <f t="shared" si="3"/>
        <v>Güvenli</v>
      </c>
      <c r="M7" s="3">
        <f t="shared" si="4"/>
        <v>13500</v>
      </c>
      <c r="P7" s="8"/>
    </row>
    <row r="8">
      <c r="A8" s="1" t="s">
        <v>37</v>
      </c>
      <c r="B8" s="6">
        <v>46088.0</v>
      </c>
      <c r="C8" s="1" t="s">
        <v>26</v>
      </c>
      <c r="D8" s="1" t="s">
        <v>27</v>
      </c>
      <c r="E8" s="1">
        <v>1200.0</v>
      </c>
      <c r="F8" s="1">
        <v>8.0</v>
      </c>
      <c r="G8" s="1">
        <v>4.0</v>
      </c>
      <c r="H8" s="1" t="s">
        <v>18</v>
      </c>
      <c r="I8" s="1">
        <v>92.0</v>
      </c>
      <c r="J8" s="4" t="str">
        <f t="shared" si="1"/>
        <v>Hammadde</v>
      </c>
      <c r="K8" s="2" t="str">
        <f t="shared" si="2"/>
        <v>A Sınıfı</v>
      </c>
      <c r="L8" s="7" t="str">
        <f t="shared" si="3"/>
        <v>Güvenli</v>
      </c>
      <c r="M8" s="3">
        <f t="shared" si="4"/>
        <v>9600</v>
      </c>
      <c r="P8" s="8"/>
    </row>
    <row r="9">
      <c r="A9" s="1" t="s">
        <v>38</v>
      </c>
      <c r="B9" s="6">
        <v>46089.0</v>
      </c>
      <c r="C9" s="1" t="s">
        <v>16</v>
      </c>
      <c r="D9" s="1" t="s">
        <v>17</v>
      </c>
      <c r="E9" s="1">
        <v>600.0</v>
      </c>
      <c r="F9" s="1">
        <v>12.0</v>
      </c>
      <c r="G9" s="1">
        <v>4.0</v>
      </c>
      <c r="H9" s="1" t="s">
        <v>18</v>
      </c>
      <c r="I9" s="1">
        <v>98.0</v>
      </c>
      <c r="J9" s="4" t="str">
        <f t="shared" si="1"/>
        <v>Metal</v>
      </c>
      <c r="K9" s="2" t="str">
        <f t="shared" si="2"/>
        <v>A Sınıfı</v>
      </c>
      <c r="L9" s="7" t="str">
        <f t="shared" si="3"/>
        <v>Güvenli</v>
      </c>
      <c r="M9" s="3">
        <f t="shared" si="4"/>
        <v>7200</v>
      </c>
      <c r="P9" s="8"/>
    </row>
    <row r="10">
      <c r="A10" s="1" t="s">
        <v>39</v>
      </c>
      <c r="B10" s="6">
        <v>46090.0</v>
      </c>
      <c r="C10" s="1" t="s">
        <v>34</v>
      </c>
      <c r="D10" s="1" t="s">
        <v>40</v>
      </c>
      <c r="E10" s="1">
        <v>50.0</v>
      </c>
      <c r="F10" s="1">
        <v>300.0</v>
      </c>
      <c r="G10" s="1">
        <v>20.0</v>
      </c>
      <c r="H10" s="1" t="s">
        <v>23</v>
      </c>
      <c r="I10" s="1">
        <v>30.0</v>
      </c>
      <c r="J10" s="4" t="str">
        <f t="shared" si="1"/>
        <v>Kimyasal</v>
      </c>
      <c r="K10" s="2" t="str">
        <f t="shared" si="2"/>
        <v>D Sınıfı</v>
      </c>
      <c r="L10" s="7" t="str">
        <f t="shared" si="3"/>
        <v>⚠️ RİSKLİ</v>
      </c>
      <c r="M10" s="3">
        <f t="shared" si="4"/>
        <v>15000</v>
      </c>
      <c r="P10" s="8"/>
    </row>
    <row r="11">
      <c r="A11" s="1" t="s">
        <v>41</v>
      </c>
      <c r="B11" s="6">
        <v>46091.0</v>
      </c>
      <c r="C11" s="1" t="s">
        <v>30</v>
      </c>
      <c r="D11" s="1" t="s">
        <v>33</v>
      </c>
      <c r="E11" s="1">
        <v>200.0</v>
      </c>
      <c r="F11" s="1">
        <v>120.0</v>
      </c>
      <c r="G11" s="1">
        <v>12.0</v>
      </c>
      <c r="H11" s="1" t="s">
        <v>18</v>
      </c>
      <c r="I11" s="1">
        <v>85.0</v>
      </c>
      <c r="J11" s="4" t="str">
        <f t="shared" si="1"/>
        <v>Elektronik</v>
      </c>
      <c r="K11" s="2" t="str">
        <f t="shared" si="2"/>
        <v>B Sınıfı</v>
      </c>
      <c r="L11" s="7" t="str">
        <f t="shared" si="3"/>
        <v>Güvenli</v>
      </c>
      <c r="M11" s="3">
        <f t="shared" si="4"/>
        <v>24000</v>
      </c>
      <c r="P11" s="8"/>
    </row>
    <row r="12">
      <c r="A12" s="1" t="s">
        <v>42</v>
      </c>
      <c r="B12" s="6">
        <v>46092.0</v>
      </c>
      <c r="C12" s="1" t="s">
        <v>21</v>
      </c>
      <c r="D12" s="1" t="s">
        <v>22</v>
      </c>
      <c r="E12" s="1">
        <v>250.0</v>
      </c>
      <c r="F12" s="1">
        <v>45.0</v>
      </c>
      <c r="G12" s="1">
        <v>14.0</v>
      </c>
      <c r="H12" s="1" t="s">
        <v>23</v>
      </c>
      <c r="I12" s="1">
        <v>70.0</v>
      </c>
      <c r="J12" s="4" t="str">
        <f t="shared" si="1"/>
        <v>Plastik</v>
      </c>
      <c r="K12" s="2" t="str">
        <f t="shared" si="2"/>
        <v>C Sınıfı</v>
      </c>
      <c r="L12" s="7" t="str">
        <f t="shared" si="3"/>
        <v>Güvenli</v>
      </c>
      <c r="M12" s="3">
        <f t="shared" si="4"/>
        <v>11250</v>
      </c>
      <c r="P12" s="8"/>
    </row>
    <row r="13">
      <c r="A13" s="1" t="s">
        <v>43</v>
      </c>
      <c r="B13" s="6">
        <v>46093.0</v>
      </c>
      <c r="C13" s="1" t="s">
        <v>26</v>
      </c>
      <c r="D13" s="1" t="s">
        <v>27</v>
      </c>
      <c r="E13" s="1">
        <v>900.0</v>
      </c>
      <c r="F13" s="1">
        <v>8.0</v>
      </c>
      <c r="G13" s="1">
        <v>2.0</v>
      </c>
      <c r="H13" s="1" t="s">
        <v>18</v>
      </c>
      <c r="I13" s="1">
        <v>100.0</v>
      </c>
      <c r="J13" s="4" t="str">
        <f t="shared" si="1"/>
        <v>Hammadde</v>
      </c>
      <c r="K13" s="2" t="str">
        <f t="shared" si="2"/>
        <v>A Sınıfı</v>
      </c>
      <c r="L13" s="7" t="str">
        <f t="shared" si="3"/>
        <v>Güvenli</v>
      </c>
      <c r="M13" s="3">
        <f t="shared" si="4"/>
        <v>7200</v>
      </c>
      <c r="P13" s="8"/>
    </row>
    <row r="14">
      <c r="A14" s="1" t="s">
        <v>44</v>
      </c>
      <c r="B14" s="6">
        <v>46094.0</v>
      </c>
      <c r="C14" s="1" t="s">
        <v>16</v>
      </c>
      <c r="D14" s="1" t="s">
        <v>17</v>
      </c>
      <c r="E14" s="1">
        <v>550.0</v>
      </c>
      <c r="F14" s="1">
        <v>12.0</v>
      </c>
      <c r="G14" s="1">
        <v>6.0</v>
      </c>
      <c r="H14" s="1" t="s">
        <v>23</v>
      </c>
      <c r="I14" s="1">
        <v>75.0</v>
      </c>
      <c r="J14" s="4" t="str">
        <f t="shared" si="1"/>
        <v>Metal</v>
      </c>
      <c r="K14" s="2" t="str">
        <f t="shared" si="2"/>
        <v>B Sınıfı</v>
      </c>
      <c r="L14" s="7" t="str">
        <f t="shared" si="3"/>
        <v>Güvenli</v>
      </c>
      <c r="M14" s="3">
        <f t="shared" si="4"/>
        <v>6600</v>
      </c>
      <c r="P14" s="8"/>
    </row>
    <row r="15">
      <c r="A15" s="1" t="s">
        <v>45</v>
      </c>
      <c r="B15" s="6">
        <v>46095.0</v>
      </c>
      <c r="C15" s="1" t="s">
        <v>34</v>
      </c>
      <c r="D15" s="1" t="s">
        <v>40</v>
      </c>
      <c r="E15" s="1">
        <v>80.0</v>
      </c>
      <c r="F15" s="1">
        <v>300.0</v>
      </c>
      <c r="G15" s="1">
        <v>18.0</v>
      </c>
      <c r="H15" s="1" t="s">
        <v>23</v>
      </c>
      <c r="I15" s="1">
        <v>50.0</v>
      </c>
      <c r="J15" s="4" t="str">
        <f t="shared" si="1"/>
        <v>Kimyasal</v>
      </c>
      <c r="K15" s="2" t="str">
        <f t="shared" si="2"/>
        <v>C Sınıfı</v>
      </c>
      <c r="L15" s="7" t="str">
        <f t="shared" si="3"/>
        <v>⚠️ RİSKLİ</v>
      </c>
      <c r="M15" s="3">
        <f t="shared" si="4"/>
        <v>24000</v>
      </c>
      <c r="P15" s="8"/>
    </row>
    <row r="16">
      <c r="A16" s="1" t="s">
        <v>46</v>
      </c>
      <c r="B16" s="6">
        <v>46096.0</v>
      </c>
      <c r="C16" s="1" t="s">
        <v>21</v>
      </c>
      <c r="D16" s="1" t="s">
        <v>22</v>
      </c>
      <c r="E16" s="1">
        <v>350.0</v>
      </c>
      <c r="F16" s="1">
        <v>45.0</v>
      </c>
      <c r="G16" s="1">
        <v>9.0</v>
      </c>
      <c r="H16" s="1" t="s">
        <v>18</v>
      </c>
      <c r="I16" s="1">
        <v>90.0</v>
      </c>
      <c r="J16" s="4" t="str">
        <f t="shared" si="1"/>
        <v>Plastik</v>
      </c>
      <c r="K16" s="2" t="str">
        <f t="shared" si="2"/>
        <v>A Sınıfı</v>
      </c>
      <c r="L16" s="7" t="str">
        <f t="shared" si="3"/>
        <v>Güvenli</v>
      </c>
      <c r="M16" s="3">
        <f t="shared" si="4"/>
        <v>15750</v>
      </c>
      <c r="P16" s="8"/>
    </row>
    <row r="17">
      <c r="A17" s="1" t="s">
        <v>47</v>
      </c>
      <c r="B17" s="6">
        <v>46097.0</v>
      </c>
      <c r="C17" s="1" t="s">
        <v>26</v>
      </c>
      <c r="D17" s="1" t="s">
        <v>27</v>
      </c>
      <c r="E17" s="1">
        <v>1100.0</v>
      </c>
      <c r="F17" s="1">
        <v>8.0</v>
      </c>
      <c r="G17" s="1">
        <v>5.0</v>
      </c>
      <c r="H17" s="1" t="s">
        <v>18</v>
      </c>
      <c r="I17" s="1">
        <v>94.0</v>
      </c>
      <c r="J17" s="4" t="str">
        <f t="shared" si="1"/>
        <v>Hammadde</v>
      </c>
      <c r="K17" s="2" t="str">
        <f t="shared" si="2"/>
        <v>A Sınıfı</v>
      </c>
      <c r="L17" s="7" t="str">
        <f t="shared" si="3"/>
        <v>Güvenli</v>
      </c>
      <c r="M17" s="3">
        <f t="shared" si="4"/>
        <v>8800</v>
      </c>
      <c r="P17" s="8"/>
    </row>
    <row r="18">
      <c r="A18" s="1" t="s">
        <v>48</v>
      </c>
      <c r="B18" s="6">
        <v>46098.0</v>
      </c>
      <c r="C18" s="1" t="s">
        <v>16</v>
      </c>
      <c r="D18" s="1" t="s">
        <v>17</v>
      </c>
      <c r="E18" s="1">
        <v>480.0</v>
      </c>
      <c r="F18" s="1">
        <v>12.0</v>
      </c>
      <c r="G18" s="1">
        <v>3.0</v>
      </c>
      <c r="H18" s="1" t="s">
        <v>18</v>
      </c>
      <c r="I18" s="1">
        <v>99.0</v>
      </c>
      <c r="J18" s="4" t="str">
        <f t="shared" si="1"/>
        <v>Metal</v>
      </c>
      <c r="K18" s="2" t="str">
        <f t="shared" si="2"/>
        <v>A Sınıfı</v>
      </c>
      <c r="L18" s="7" t="str">
        <f t="shared" si="3"/>
        <v>Güvenli</v>
      </c>
      <c r="M18" s="3">
        <f t="shared" si="4"/>
        <v>5760</v>
      </c>
      <c r="P18" s="8"/>
    </row>
    <row r="19">
      <c r="A19" s="1" t="s">
        <v>49</v>
      </c>
      <c r="B19" s="6">
        <v>46099.0</v>
      </c>
      <c r="C19" s="1" t="s">
        <v>30</v>
      </c>
      <c r="D19" s="1" t="s">
        <v>33</v>
      </c>
      <c r="E19" s="1">
        <v>180.0</v>
      </c>
      <c r="F19" s="1">
        <v>120.0</v>
      </c>
      <c r="G19" s="1">
        <v>14.0</v>
      </c>
      <c r="H19" s="1" t="s">
        <v>23</v>
      </c>
      <c r="I19" s="1">
        <v>65.0</v>
      </c>
      <c r="J19" s="4" t="str">
        <f t="shared" si="1"/>
        <v>Elektronik</v>
      </c>
      <c r="K19" s="2" t="str">
        <f t="shared" si="2"/>
        <v>C Sınıfı</v>
      </c>
      <c r="L19" s="7" t="str">
        <f t="shared" si="3"/>
        <v>⚠️ RİSKLİ</v>
      </c>
      <c r="M19" s="3">
        <f t="shared" si="4"/>
        <v>21600</v>
      </c>
      <c r="P19" s="8"/>
    </row>
    <row r="20">
      <c r="A20" s="1" t="s">
        <v>50</v>
      </c>
      <c r="B20" s="6">
        <v>46100.0</v>
      </c>
      <c r="C20" s="1" t="s">
        <v>21</v>
      </c>
      <c r="D20" s="1" t="s">
        <v>22</v>
      </c>
      <c r="E20" s="1">
        <v>220.0</v>
      </c>
      <c r="F20" s="1">
        <v>45.0</v>
      </c>
      <c r="G20" s="1">
        <v>11.0</v>
      </c>
      <c r="H20" s="1" t="s">
        <v>18</v>
      </c>
      <c r="I20" s="1">
        <v>82.0</v>
      </c>
      <c r="J20" s="4" t="str">
        <f t="shared" si="1"/>
        <v>Plastik</v>
      </c>
      <c r="K20" s="2" t="str">
        <f t="shared" si="2"/>
        <v>B Sınıfı</v>
      </c>
      <c r="L20" s="7" t="str">
        <f t="shared" si="3"/>
        <v>Güvenli</v>
      </c>
      <c r="M20" s="3">
        <f t="shared" si="4"/>
        <v>9900</v>
      </c>
      <c r="P20" s="8"/>
    </row>
    <row r="21">
      <c r="A21" s="1" t="s">
        <v>51</v>
      </c>
      <c r="B21" s="6">
        <v>46101.0</v>
      </c>
      <c r="C21" s="1" t="s">
        <v>34</v>
      </c>
      <c r="D21" s="1" t="s">
        <v>40</v>
      </c>
      <c r="E21" s="1">
        <v>60.0</v>
      </c>
      <c r="F21" s="1">
        <v>300.0</v>
      </c>
      <c r="G21" s="1">
        <v>25.0</v>
      </c>
      <c r="H21" s="1" t="s">
        <v>52</v>
      </c>
      <c r="I21" s="1">
        <v>20.0</v>
      </c>
      <c r="J21" s="4" t="str">
        <f t="shared" si="1"/>
        <v>Kimyasal</v>
      </c>
      <c r="K21" s="2" t="str">
        <f t="shared" si="2"/>
        <v>D Sınıfı</v>
      </c>
      <c r="L21" s="7" t="str">
        <f t="shared" si="3"/>
        <v>⚠️ RİSKLİ</v>
      </c>
      <c r="M21" s="3">
        <f t="shared" si="4"/>
        <v>18000</v>
      </c>
      <c r="P21" s="8"/>
    </row>
    <row r="22">
      <c r="A22" s="1" t="s">
        <v>53</v>
      </c>
      <c r="B22" s="6">
        <v>46102.0</v>
      </c>
      <c r="C22" s="1" t="s">
        <v>26</v>
      </c>
      <c r="D22" s="1" t="s">
        <v>27</v>
      </c>
      <c r="E22" s="1">
        <v>1000.0</v>
      </c>
      <c r="F22" s="1">
        <v>8.0</v>
      </c>
      <c r="G22" s="1">
        <v>4.0</v>
      </c>
      <c r="H22" s="1" t="s">
        <v>18</v>
      </c>
      <c r="I22" s="1">
        <v>96.0</v>
      </c>
      <c r="J22" s="4" t="str">
        <f t="shared" si="1"/>
        <v>Hammadde</v>
      </c>
      <c r="K22" s="2" t="str">
        <f t="shared" si="2"/>
        <v>A Sınıfı</v>
      </c>
      <c r="L22" s="7" t="str">
        <f t="shared" si="3"/>
        <v>Güvenli</v>
      </c>
      <c r="M22" s="3">
        <f t="shared" si="4"/>
        <v>8000</v>
      </c>
      <c r="P22" s="8"/>
    </row>
    <row r="23">
      <c r="A23" s="1" t="s">
        <v>54</v>
      </c>
      <c r="B23" s="6">
        <v>46103.0</v>
      </c>
      <c r="C23" s="1" t="s">
        <v>16</v>
      </c>
      <c r="D23" s="1" t="s">
        <v>17</v>
      </c>
      <c r="E23" s="1">
        <v>520.0</v>
      </c>
      <c r="F23" s="1">
        <v>12.0</v>
      </c>
      <c r="G23" s="1">
        <v>5.0</v>
      </c>
      <c r="H23" s="1" t="s">
        <v>18</v>
      </c>
      <c r="I23" s="1">
        <v>93.0</v>
      </c>
      <c r="J23" s="4" t="str">
        <f t="shared" si="1"/>
        <v>Metal</v>
      </c>
      <c r="K23" s="2" t="str">
        <f t="shared" si="2"/>
        <v>A Sınıfı</v>
      </c>
      <c r="L23" s="7" t="str">
        <f t="shared" si="3"/>
        <v>Güvenli</v>
      </c>
      <c r="M23" s="3">
        <f t="shared" si="4"/>
        <v>6240</v>
      </c>
      <c r="P23" s="8"/>
    </row>
    <row r="24">
      <c r="A24" s="1" t="s">
        <v>55</v>
      </c>
      <c r="B24" s="6">
        <v>46104.0</v>
      </c>
      <c r="C24" s="1" t="s">
        <v>30</v>
      </c>
      <c r="D24" s="1" t="s">
        <v>33</v>
      </c>
      <c r="E24" s="1">
        <v>140.0</v>
      </c>
      <c r="F24" s="1">
        <v>120.0</v>
      </c>
      <c r="G24" s="1">
        <v>16.0</v>
      </c>
      <c r="H24" s="1" t="s">
        <v>52</v>
      </c>
      <c r="I24" s="1">
        <v>40.0</v>
      </c>
      <c r="J24" s="4" t="str">
        <f t="shared" si="1"/>
        <v>Elektronik</v>
      </c>
      <c r="K24" s="2" t="str">
        <f t="shared" si="2"/>
        <v>D Sınıfı</v>
      </c>
      <c r="L24" s="7" t="str">
        <f t="shared" si="3"/>
        <v>⚠️ RİSKLİ</v>
      </c>
      <c r="M24" s="3">
        <f t="shared" si="4"/>
        <v>16800</v>
      </c>
      <c r="P24" s="8"/>
    </row>
    <row r="25">
      <c r="A25" s="1" t="s">
        <v>56</v>
      </c>
      <c r="B25" s="6">
        <v>46105.0</v>
      </c>
      <c r="C25" s="1" t="s">
        <v>21</v>
      </c>
      <c r="D25" s="1" t="s">
        <v>22</v>
      </c>
      <c r="E25" s="1">
        <v>280.0</v>
      </c>
      <c r="F25" s="1">
        <v>45.0</v>
      </c>
      <c r="G25" s="1">
        <v>8.0</v>
      </c>
      <c r="H25" s="1" t="s">
        <v>18</v>
      </c>
      <c r="I25" s="1">
        <v>89.0</v>
      </c>
      <c r="J25" s="4" t="str">
        <f t="shared" si="1"/>
        <v>Plastik</v>
      </c>
      <c r="K25" s="2" t="str">
        <f t="shared" si="2"/>
        <v>B Sınıfı</v>
      </c>
      <c r="L25" s="7" t="str">
        <f t="shared" si="3"/>
        <v>Güvenli</v>
      </c>
      <c r="M25" s="3">
        <f t="shared" si="4"/>
        <v>12600</v>
      </c>
      <c r="P25" s="8"/>
    </row>
    <row r="26">
      <c r="A26" s="1" t="s">
        <v>57</v>
      </c>
      <c r="B26" s="6">
        <v>46106.0</v>
      </c>
      <c r="C26" s="1" t="s">
        <v>34</v>
      </c>
      <c r="D26" s="1" t="s">
        <v>40</v>
      </c>
      <c r="E26" s="1">
        <v>40.0</v>
      </c>
      <c r="F26" s="1">
        <v>300.0</v>
      </c>
      <c r="G26" s="1">
        <v>22.0</v>
      </c>
      <c r="H26" s="1" t="s">
        <v>52</v>
      </c>
      <c r="I26" s="1">
        <v>15.0</v>
      </c>
      <c r="J26" s="4" t="str">
        <f t="shared" si="1"/>
        <v>Kimyasal</v>
      </c>
      <c r="K26" s="2" t="str">
        <f t="shared" si="2"/>
        <v>D Sınıfı</v>
      </c>
      <c r="L26" s="7" t="str">
        <f t="shared" si="3"/>
        <v>⚠️ RİSKLİ</v>
      </c>
      <c r="M26" s="3">
        <f t="shared" si="4"/>
        <v>12000</v>
      </c>
      <c r="P26" s="8"/>
    </row>
    <row r="27">
      <c r="M27" s="8"/>
      <c r="P27" s="8"/>
    </row>
    <row r="28">
      <c r="M28" s="8"/>
      <c r="P28" s="8"/>
    </row>
    <row r="29">
      <c r="M29" s="8"/>
      <c r="P29" s="8"/>
    </row>
    <row r="30">
      <c r="M30" s="8"/>
      <c r="P30" s="8"/>
    </row>
    <row r="31">
      <c r="M31" s="8"/>
      <c r="P31" s="8"/>
    </row>
    <row r="32">
      <c r="M32" s="8"/>
      <c r="P32" s="8"/>
    </row>
    <row r="33">
      <c r="M33" s="8"/>
      <c r="P33" s="8"/>
    </row>
    <row r="34">
      <c r="M34" s="8"/>
      <c r="P34" s="8"/>
    </row>
    <row r="35">
      <c r="M35" s="8"/>
      <c r="P35" s="8"/>
    </row>
    <row r="36">
      <c r="M36" s="8"/>
      <c r="P36" s="8"/>
    </row>
    <row r="37">
      <c r="M37" s="8"/>
      <c r="P37" s="8"/>
    </row>
    <row r="38">
      <c r="M38" s="8"/>
      <c r="P38" s="8"/>
    </row>
    <row r="39">
      <c r="M39" s="8"/>
      <c r="P39" s="8"/>
    </row>
    <row r="40">
      <c r="M40" s="8"/>
      <c r="P40" s="8"/>
    </row>
    <row r="41">
      <c r="M41" s="8"/>
      <c r="P41" s="8"/>
    </row>
    <row r="42">
      <c r="M42" s="8"/>
      <c r="P42" s="8"/>
    </row>
    <row r="43">
      <c r="M43" s="8"/>
      <c r="P43" s="8"/>
    </row>
    <row r="44">
      <c r="M44" s="8"/>
      <c r="P44" s="8"/>
    </row>
    <row r="45">
      <c r="M45" s="8"/>
      <c r="P45" s="8"/>
    </row>
    <row r="46">
      <c r="M46" s="8"/>
      <c r="P46" s="8"/>
    </row>
    <row r="47">
      <c r="M47" s="8"/>
      <c r="P47" s="8"/>
    </row>
    <row r="48">
      <c r="M48" s="8"/>
      <c r="P48" s="8"/>
    </row>
    <row r="49">
      <c r="M49" s="8"/>
      <c r="P49" s="8"/>
    </row>
    <row r="50">
      <c r="M50" s="8"/>
      <c r="P50" s="8"/>
    </row>
    <row r="51">
      <c r="M51" s="8"/>
      <c r="P51" s="8"/>
    </row>
    <row r="52">
      <c r="M52" s="8"/>
      <c r="P52" s="8"/>
    </row>
    <row r="53">
      <c r="M53" s="8"/>
      <c r="P53" s="8"/>
    </row>
    <row r="54">
      <c r="M54" s="8"/>
      <c r="P54" s="8"/>
    </row>
    <row r="55">
      <c r="M55" s="8"/>
      <c r="P55" s="8"/>
    </row>
    <row r="56">
      <c r="M56" s="8"/>
      <c r="P56" s="8"/>
    </row>
    <row r="57">
      <c r="M57" s="8"/>
      <c r="P57" s="8"/>
    </row>
    <row r="58">
      <c r="M58" s="8"/>
      <c r="P58" s="8"/>
    </row>
    <row r="59">
      <c r="M59" s="8"/>
      <c r="P59" s="8"/>
    </row>
    <row r="60">
      <c r="M60" s="8"/>
      <c r="P60" s="8"/>
    </row>
    <row r="61">
      <c r="M61" s="8"/>
      <c r="P61" s="8"/>
    </row>
    <row r="62">
      <c r="M62" s="8"/>
      <c r="P62" s="8"/>
    </row>
    <row r="63">
      <c r="M63" s="8"/>
      <c r="P63" s="8"/>
    </row>
    <row r="64">
      <c r="M64" s="8"/>
      <c r="P64" s="8"/>
    </row>
    <row r="65">
      <c r="M65" s="8"/>
      <c r="P65" s="8"/>
    </row>
    <row r="66">
      <c r="M66" s="8"/>
      <c r="P66" s="8"/>
    </row>
    <row r="67">
      <c r="M67" s="8"/>
      <c r="P67" s="8"/>
    </row>
    <row r="68">
      <c r="M68" s="8"/>
      <c r="P68" s="8"/>
    </row>
    <row r="69">
      <c r="M69" s="8"/>
      <c r="P69" s="8"/>
    </row>
    <row r="70">
      <c r="M70" s="8"/>
      <c r="P70" s="8"/>
    </row>
    <row r="71">
      <c r="M71" s="8"/>
      <c r="P71" s="8"/>
    </row>
    <row r="72">
      <c r="M72" s="8"/>
      <c r="P72" s="8"/>
    </row>
    <row r="73">
      <c r="M73" s="8"/>
      <c r="P73" s="8"/>
    </row>
    <row r="74">
      <c r="M74" s="8"/>
      <c r="P74" s="8"/>
    </row>
    <row r="75">
      <c r="M75" s="8"/>
      <c r="P75" s="8"/>
    </row>
    <row r="76">
      <c r="M76" s="8"/>
      <c r="P76" s="8"/>
    </row>
    <row r="77">
      <c r="M77" s="8"/>
      <c r="P77" s="8"/>
    </row>
    <row r="78">
      <c r="M78" s="8"/>
      <c r="P78" s="8"/>
    </row>
    <row r="79">
      <c r="M79" s="8"/>
      <c r="P79" s="8"/>
    </row>
    <row r="80">
      <c r="M80" s="8"/>
      <c r="P80" s="8"/>
    </row>
    <row r="81">
      <c r="M81" s="8"/>
      <c r="P81" s="8"/>
    </row>
    <row r="82">
      <c r="M82" s="8"/>
      <c r="P82" s="8"/>
    </row>
    <row r="83">
      <c r="M83" s="8"/>
      <c r="P83" s="8"/>
    </row>
    <row r="84">
      <c r="M84" s="8"/>
      <c r="P84" s="8"/>
    </row>
    <row r="85">
      <c r="M85" s="8"/>
      <c r="P85" s="8"/>
    </row>
    <row r="86">
      <c r="M86" s="8"/>
      <c r="P86" s="8"/>
    </row>
    <row r="87">
      <c r="M87" s="8"/>
      <c r="P87" s="8"/>
    </row>
    <row r="88">
      <c r="M88" s="8"/>
      <c r="P88" s="8"/>
    </row>
    <row r="89">
      <c r="M89" s="8"/>
      <c r="P89" s="8"/>
    </row>
    <row r="90">
      <c r="M90" s="8"/>
      <c r="P90" s="8"/>
    </row>
    <row r="91">
      <c r="M91" s="8"/>
      <c r="P91" s="8"/>
    </row>
    <row r="92">
      <c r="M92" s="8"/>
      <c r="P92" s="8"/>
    </row>
    <row r="93">
      <c r="M93" s="8"/>
      <c r="P93" s="8"/>
    </row>
    <row r="94">
      <c r="M94" s="8"/>
      <c r="P94" s="8"/>
    </row>
    <row r="95">
      <c r="M95" s="8"/>
      <c r="P95" s="8"/>
    </row>
    <row r="96">
      <c r="M96" s="8"/>
      <c r="P96" s="8"/>
    </row>
    <row r="97">
      <c r="M97" s="8"/>
      <c r="P97" s="8"/>
    </row>
    <row r="98">
      <c r="M98" s="8"/>
      <c r="P98" s="8"/>
    </row>
    <row r="99">
      <c r="M99" s="8"/>
      <c r="P99" s="8"/>
    </row>
    <row r="100">
      <c r="M100" s="8"/>
      <c r="P100" s="8"/>
    </row>
    <row r="101">
      <c r="M101" s="8"/>
      <c r="P101" s="8"/>
    </row>
    <row r="102">
      <c r="M102" s="8"/>
      <c r="P102" s="8"/>
    </row>
    <row r="103">
      <c r="M103" s="8"/>
      <c r="P103" s="8"/>
    </row>
    <row r="104">
      <c r="M104" s="8"/>
      <c r="P104" s="8"/>
    </row>
    <row r="105">
      <c r="M105" s="8"/>
      <c r="P105" s="8"/>
    </row>
    <row r="106">
      <c r="M106" s="8"/>
      <c r="P106" s="8"/>
    </row>
    <row r="107">
      <c r="M107" s="8"/>
      <c r="P107" s="8"/>
    </row>
    <row r="108">
      <c r="M108" s="8"/>
      <c r="P108" s="8"/>
    </row>
    <row r="109">
      <c r="M109" s="8"/>
      <c r="P109" s="8"/>
    </row>
    <row r="110">
      <c r="M110" s="8"/>
      <c r="P110" s="8"/>
    </row>
    <row r="111">
      <c r="M111" s="8"/>
      <c r="P111" s="8"/>
    </row>
    <row r="112">
      <c r="M112" s="8"/>
      <c r="P112" s="8"/>
    </row>
    <row r="113">
      <c r="M113" s="8"/>
      <c r="P113" s="8"/>
    </row>
    <row r="114">
      <c r="M114" s="8"/>
      <c r="P114" s="8"/>
    </row>
    <row r="115">
      <c r="M115" s="8"/>
      <c r="P115" s="8"/>
    </row>
    <row r="116">
      <c r="M116" s="8"/>
      <c r="P116" s="8"/>
    </row>
    <row r="117">
      <c r="M117" s="8"/>
      <c r="P117" s="8"/>
    </row>
    <row r="118">
      <c r="M118" s="8"/>
      <c r="P118" s="8"/>
    </row>
    <row r="119">
      <c r="M119" s="8"/>
      <c r="P119" s="8"/>
    </row>
    <row r="120">
      <c r="M120" s="8"/>
      <c r="P120" s="8"/>
    </row>
    <row r="121">
      <c r="M121" s="8"/>
      <c r="P121" s="8"/>
    </row>
    <row r="122">
      <c r="M122" s="8"/>
      <c r="P122" s="8"/>
    </row>
    <row r="123">
      <c r="M123" s="8"/>
      <c r="P123" s="8"/>
    </row>
    <row r="124">
      <c r="M124" s="8"/>
      <c r="P124" s="8"/>
    </row>
    <row r="125">
      <c r="M125" s="8"/>
      <c r="P125" s="8"/>
    </row>
    <row r="126">
      <c r="M126" s="8"/>
      <c r="P126" s="8"/>
    </row>
    <row r="127">
      <c r="M127" s="8"/>
      <c r="P127" s="8"/>
    </row>
    <row r="128">
      <c r="M128" s="8"/>
      <c r="P128" s="8"/>
    </row>
    <row r="129">
      <c r="M129" s="8"/>
      <c r="P129" s="8"/>
    </row>
    <row r="130">
      <c r="M130" s="8"/>
      <c r="P130" s="8"/>
    </row>
    <row r="131">
      <c r="M131" s="8"/>
      <c r="P131" s="8"/>
    </row>
    <row r="132">
      <c r="M132" s="8"/>
      <c r="P132" s="8"/>
    </row>
    <row r="133">
      <c r="M133" s="8"/>
      <c r="P133" s="8"/>
    </row>
    <row r="134">
      <c r="M134" s="8"/>
      <c r="P134" s="8"/>
    </row>
    <row r="135">
      <c r="M135" s="8"/>
      <c r="P135" s="8"/>
    </row>
    <row r="136">
      <c r="M136" s="8"/>
      <c r="P136" s="8"/>
    </row>
    <row r="137">
      <c r="M137" s="8"/>
      <c r="P137" s="8"/>
    </row>
    <row r="138">
      <c r="M138" s="8"/>
      <c r="P138" s="8"/>
    </row>
    <row r="139">
      <c r="M139" s="8"/>
      <c r="P139" s="8"/>
    </row>
    <row r="140">
      <c r="M140" s="8"/>
      <c r="P140" s="8"/>
    </row>
    <row r="141">
      <c r="M141" s="8"/>
      <c r="P141" s="8"/>
    </row>
    <row r="142">
      <c r="M142" s="8"/>
      <c r="P142" s="8"/>
    </row>
    <row r="143">
      <c r="M143" s="8"/>
      <c r="P143" s="8"/>
    </row>
    <row r="144">
      <c r="M144" s="8"/>
      <c r="P144" s="8"/>
    </row>
    <row r="145">
      <c r="M145" s="8"/>
      <c r="P145" s="8"/>
    </row>
    <row r="146">
      <c r="M146" s="8"/>
      <c r="P146" s="8"/>
    </row>
    <row r="147">
      <c r="M147" s="8"/>
      <c r="P147" s="8"/>
    </row>
    <row r="148">
      <c r="M148" s="8"/>
      <c r="P148" s="8"/>
    </row>
    <row r="149">
      <c r="M149" s="8"/>
      <c r="P149" s="8"/>
    </row>
    <row r="150">
      <c r="M150" s="8"/>
      <c r="P150" s="8"/>
    </row>
    <row r="151">
      <c r="M151" s="8"/>
      <c r="P151" s="8"/>
    </row>
    <row r="152">
      <c r="M152" s="8"/>
      <c r="P152" s="8"/>
    </row>
    <row r="153">
      <c r="M153" s="8"/>
      <c r="P153" s="8"/>
    </row>
    <row r="154">
      <c r="M154" s="8"/>
      <c r="P154" s="8"/>
    </row>
    <row r="155">
      <c r="M155" s="8"/>
      <c r="P155" s="8"/>
    </row>
    <row r="156">
      <c r="M156" s="8"/>
      <c r="P156" s="8"/>
    </row>
    <row r="157">
      <c r="M157" s="8"/>
      <c r="P157" s="8"/>
    </row>
    <row r="158">
      <c r="M158" s="8"/>
      <c r="P158" s="8"/>
    </row>
    <row r="159">
      <c r="M159" s="8"/>
      <c r="P159" s="8"/>
    </row>
    <row r="160">
      <c r="M160" s="8"/>
      <c r="P160" s="8"/>
    </row>
    <row r="161">
      <c r="M161" s="8"/>
      <c r="P161" s="8"/>
    </row>
    <row r="162">
      <c r="M162" s="8"/>
      <c r="P162" s="8"/>
    </row>
    <row r="163">
      <c r="M163" s="8"/>
      <c r="P163" s="8"/>
    </row>
    <row r="164">
      <c r="M164" s="8"/>
      <c r="P164" s="8"/>
    </row>
    <row r="165">
      <c r="M165" s="8"/>
      <c r="P165" s="8"/>
    </row>
    <row r="166">
      <c r="M166" s="8"/>
      <c r="P166" s="8"/>
    </row>
    <row r="167">
      <c r="M167" s="8"/>
      <c r="P167" s="8"/>
    </row>
    <row r="168">
      <c r="M168" s="8"/>
      <c r="P168" s="8"/>
    </row>
    <row r="169">
      <c r="M169" s="8"/>
      <c r="P169" s="8"/>
    </row>
    <row r="170">
      <c r="M170" s="8"/>
      <c r="P170" s="8"/>
    </row>
    <row r="171">
      <c r="M171" s="8"/>
      <c r="P171" s="8"/>
    </row>
    <row r="172">
      <c r="M172" s="8"/>
      <c r="P172" s="8"/>
    </row>
    <row r="173">
      <c r="M173" s="8"/>
      <c r="P173" s="8"/>
    </row>
    <row r="174">
      <c r="M174" s="8"/>
      <c r="P174" s="8"/>
    </row>
    <row r="175">
      <c r="M175" s="8"/>
      <c r="P175" s="8"/>
    </row>
    <row r="176">
      <c r="M176" s="8"/>
      <c r="P176" s="8"/>
    </row>
    <row r="177">
      <c r="M177" s="8"/>
      <c r="P177" s="8"/>
    </row>
    <row r="178">
      <c r="M178" s="8"/>
      <c r="P178" s="8"/>
    </row>
    <row r="179">
      <c r="M179" s="8"/>
      <c r="P179" s="8"/>
    </row>
    <row r="180">
      <c r="M180" s="8"/>
      <c r="P180" s="8"/>
    </row>
    <row r="181">
      <c r="M181" s="8"/>
      <c r="P181" s="8"/>
    </row>
    <row r="182">
      <c r="M182" s="8"/>
      <c r="P182" s="8"/>
    </row>
    <row r="183">
      <c r="M183" s="8"/>
      <c r="P183" s="8"/>
    </row>
    <row r="184">
      <c r="M184" s="8"/>
      <c r="P184" s="8"/>
    </row>
    <row r="185">
      <c r="M185" s="8"/>
      <c r="P185" s="8"/>
    </row>
    <row r="186">
      <c r="M186" s="8"/>
      <c r="P186" s="8"/>
    </row>
    <row r="187">
      <c r="M187" s="8"/>
      <c r="P187" s="8"/>
    </row>
    <row r="188">
      <c r="M188" s="8"/>
      <c r="P188" s="8"/>
    </row>
    <row r="189">
      <c r="M189" s="8"/>
      <c r="P189" s="8"/>
    </row>
    <row r="190">
      <c r="M190" s="8"/>
      <c r="P190" s="8"/>
    </row>
    <row r="191">
      <c r="M191" s="8"/>
      <c r="P191" s="8"/>
    </row>
    <row r="192">
      <c r="M192" s="8"/>
      <c r="P192" s="8"/>
    </row>
    <row r="193">
      <c r="M193" s="8"/>
      <c r="P193" s="8"/>
    </row>
    <row r="194">
      <c r="M194" s="8"/>
      <c r="P194" s="8"/>
    </row>
    <row r="195">
      <c r="M195" s="8"/>
      <c r="P195" s="8"/>
    </row>
    <row r="196">
      <c r="M196" s="8"/>
      <c r="P196" s="8"/>
    </row>
    <row r="197">
      <c r="M197" s="8"/>
      <c r="P197" s="8"/>
    </row>
    <row r="198">
      <c r="M198" s="8"/>
      <c r="P198" s="8"/>
    </row>
    <row r="199">
      <c r="M199" s="8"/>
      <c r="P199" s="8"/>
    </row>
    <row r="200">
      <c r="M200" s="8"/>
      <c r="P200" s="8"/>
    </row>
    <row r="201">
      <c r="M201" s="8"/>
      <c r="P201" s="8"/>
    </row>
    <row r="202">
      <c r="M202" s="8"/>
      <c r="P202" s="8"/>
    </row>
    <row r="203">
      <c r="M203" s="8"/>
      <c r="P203" s="8"/>
    </row>
    <row r="204">
      <c r="M204" s="8"/>
      <c r="P204" s="8"/>
    </row>
    <row r="205">
      <c r="M205" s="8"/>
      <c r="P205" s="8"/>
    </row>
    <row r="206">
      <c r="M206" s="8"/>
      <c r="P206" s="8"/>
    </row>
    <row r="207">
      <c r="M207" s="8"/>
      <c r="P207" s="8"/>
    </row>
    <row r="208">
      <c r="M208" s="8"/>
      <c r="P208" s="8"/>
    </row>
    <row r="209">
      <c r="M209" s="8"/>
      <c r="P209" s="8"/>
    </row>
    <row r="210">
      <c r="M210" s="8"/>
      <c r="P210" s="8"/>
    </row>
    <row r="211">
      <c r="M211" s="8"/>
      <c r="P211" s="8"/>
    </row>
    <row r="212">
      <c r="M212" s="8"/>
      <c r="P212" s="8"/>
    </row>
    <row r="213">
      <c r="M213" s="8"/>
      <c r="P213" s="8"/>
    </row>
    <row r="214">
      <c r="M214" s="8"/>
      <c r="P214" s="8"/>
    </row>
    <row r="215">
      <c r="M215" s="8"/>
      <c r="P215" s="8"/>
    </row>
    <row r="216">
      <c r="M216" s="8"/>
      <c r="P216" s="8"/>
    </row>
    <row r="217">
      <c r="M217" s="8"/>
      <c r="P217" s="8"/>
    </row>
    <row r="218">
      <c r="M218" s="8"/>
      <c r="P218" s="8"/>
    </row>
    <row r="219">
      <c r="M219" s="8"/>
      <c r="P219" s="8"/>
    </row>
    <row r="220">
      <c r="M220" s="8"/>
      <c r="P220" s="8"/>
    </row>
    <row r="221">
      <c r="M221" s="8"/>
      <c r="P221" s="8"/>
    </row>
    <row r="222">
      <c r="M222" s="8"/>
      <c r="P222" s="8"/>
    </row>
    <row r="223">
      <c r="M223" s="8"/>
      <c r="P223" s="8"/>
    </row>
    <row r="224">
      <c r="M224" s="8"/>
      <c r="P224" s="8"/>
    </row>
    <row r="225">
      <c r="M225" s="8"/>
      <c r="P225" s="8"/>
    </row>
    <row r="226">
      <c r="M226" s="8"/>
      <c r="P226" s="8"/>
    </row>
    <row r="227">
      <c r="M227" s="8"/>
      <c r="P227" s="8"/>
    </row>
    <row r="228">
      <c r="M228" s="8"/>
      <c r="P228" s="8"/>
    </row>
    <row r="229">
      <c r="M229" s="8"/>
      <c r="P229" s="8"/>
    </row>
    <row r="230">
      <c r="M230" s="8"/>
      <c r="P230" s="8"/>
    </row>
    <row r="231">
      <c r="M231" s="8"/>
      <c r="P231" s="8"/>
    </row>
    <row r="232">
      <c r="M232" s="8"/>
      <c r="P232" s="8"/>
    </row>
    <row r="233">
      <c r="M233" s="8"/>
      <c r="P233" s="8"/>
    </row>
    <row r="234">
      <c r="M234" s="8"/>
      <c r="P234" s="8"/>
    </row>
    <row r="235">
      <c r="M235" s="8"/>
      <c r="P235" s="8"/>
    </row>
    <row r="236">
      <c r="M236" s="8"/>
      <c r="P236" s="8"/>
    </row>
    <row r="237">
      <c r="M237" s="8"/>
      <c r="P237" s="8"/>
    </row>
    <row r="238">
      <c r="M238" s="8"/>
      <c r="P238" s="8"/>
    </row>
    <row r="239">
      <c r="M239" s="8"/>
      <c r="P239" s="8"/>
    </row>
    <row r="240">
      <c r="M240" s="8"/>
      <c r="P240" s="8"/>
    </row>
    <row r="241">
      <c r="M241" s="8"/>
      <c r="P241" s="8"/>
    </row>
    <row r="242">
      <c r="M242" s="8"/>
      <c r="P242" s="8"/>
    </row>
    <row r="243">
      <c r="M243" s="8"/>
      <c r="P243" s="8"/>
    </row>
    <row r="244">
      <c r="M244" s="8"/>
      <c r="P244" s="8"/>
    </row>
    <row r="245">
      <c r="M245" s="8"/>
      <c r="P245" s="8"/>
    </row>
    <row r="246">
      <c r="M246" s="8"/>
      <c r="P246" s="8"/>
    </row>
    <row r="247">
      <c r="M247" s="8"/>
      <c r="P247" s="8"/>
    </row>
    <row r="248">
      <c r="M248" s="8"/>
      <c r="P248" s="8"/>
    </row>
    <row r="249">
      <c r="M249" s="8"/>
      <c r="P249" s="8"/>
    </row>
    <row r="250">
      <c r="M250" s="8"/>
      <c r="P250" s="8"/>
    </row>
    <row r="251">
      <c r="M251" s="8"/>
      <c r="P251" s="8"/>
    </row>
    <row r="252">
      <c r="M252" s="8"/>
      <c r="P252" s="8"/>
    </row>
    <row r="253">
      <c r="M253" s="8"/>
      <c r="P253" s="8"/>
    </row>
    <row r="254">
      <c r="M254" s="8"/>
      <c r="P254" s="8"/>
    </row>
    <row r="255">
      <c r="M255" s="8"/>
      <c r="P255" s="8"/>
    </row>
    <row r="256">
      <c r="M256" s="8"/>
      <c r="P256" s="8"/>
    </row>
    <row r="257">
      <c r="M257" s="8"/>
      <c r="P257" s="8"/>
    </row>
    <row r="258">
      <c r="M258" s="8"/>
      <c r="P258" s="8"/>
    </row>
    <row r="259">
      <c r="M259" s="8"/>
      <c r="P259" s="8"/>
    </row>
    <row r="260">
      <c r="M260" s="8"/>
      <c r="P260" s="8"/>
    </row>
    <row r="261">
      <c r="M261" s="8"/>
      <c r="P261" s="8"/>
    </row>
    <row r="262">
      <c r="M262" s="8"/>
      <c r="P262" s="8"/>
    </row>
    <row r="263">
      <c r="M263" s="8"/>
      <c r="P263" s="8"/>
    </row>
    <row r="264">
      <c r="M264" s="8"/>
      <c r="P264" s="8"/>
    </row>
    <row r="265">
      <c r="M265" s="8"/>
      <c r="P265" s="8"/>
    </row>
    <row r="266">
      <c r="M266" s="8"/>
      <c r="P266" s="8"/>
    </row>
    <row r="267">
      <c r="M267" s="8"/>
      <c r="P267" s="8"/>
    </row>
    <row r="268">
      <c r="M268" s="8"/>
      <c r="P268" s="8"/>
    </row>
    <row r="269">
      <c r="M269" s="8"/>
      <c r="P269" s="8"/>
    </row>
    <row r="270">
      <c r="M270" s="8"/>
      <c r="P270" s="8"/>
    </row>
    <row r="271">
      <c r="M271" s="8"/>
      <c r="P271" s="8"/>
    </row>
    <row r="272">
      <c r="M272" s="8"/>
      <c r="P272" s="8"/>
    </row>
    <row r="273">
      <c r="M273" s="8"/>
      <c r="P273" s="8"/>
    </row>
    <row r="274">
      <c r="M274" s="8"/>
      <c r="P274" s="8"/>
    </row>
    <row r="275">
      <c r="M275" s="8"/>
      <c r="P275" s="8"/>
    </row>
    <row r="276">
      <c r="M276" s="8"/>
      <c r="P276" s="8"/>
    </row>
    <row r="277">
      <c r="M277" s="8"/>
      <c r="P277" s="8"/>
    </row>
    <row r="278">
      <c r="M278" s="8"/>
      <c r="P278" s="8"/>
    </row>
    <row r="279">
      <c r="M279" s="8"/>
      <c r="P279" s="8"/>
    </row>
    <row r="280">
      <c r="M280" s="8"/>
      <c r="P280" s="8"/>
    </row>
    <row r="281">
      <c r="M281" s="8"/>
      <c r="P281" s="8"/>
    </row>
    <row r="282">
      <c r="M282" s="8"/>
      <c r="P282" s="8"/>
    </row>
    <row r="283">
      <c r="M283" s="8"/>
      <c r="P283" s="8"/>
    </row>
    <row r="284">
      <c r="M284" s="8"/>
      <c r="P284" s="8"/>
    </row>
    <row r="285">
      <c r="M285" s="8"/>
      <c r="P285" s="8"/>
    </row>
    <row r="286">
      <c r="M286" s="8"/>
      <c r="P286" s="8"/>
    </row>
    <row r="287">
      <c r="M287" s="8"/>
      <c r="P287" s="8"/>
    </row>
    <row r="288">
      <c r="M288" s="8"/>
      <c r="P288" s="8"/>
    </row>
    <row r="289">
      <c r="M289" s="8"/>
      <c r="P289" s="8"/>
    </row>
    <row r="290">
      <c r="M290" s="8"/>
      <c r="P290" s="8"/>
    </row>
    <row r="291">
      <c r="M291" s="8"/>
      <c r="P291" s="8"/>
    </row>
    <row r="292">
      <c r="M292" s="8"/>
      <c r="P292" s="8"/>
    </row>
    <row r="293">
      <c r="M293" s="8"/>
      <c r="P293" s="8"/>
    </row>
    <row r="294">
      <c r="M294" s="8"/>
      <c r="P294" s="8"/>
    </row>
    <row r="295">
      <c r="M295" s="8"/>
      <c r="P295" s="8"/>
    </row>
    <row r="296">
      <c r="M296" s="8"/>
      <c r="P296" s="8"/>
    </row>
    <row r="297">
      <c r="M297" s="8"/>
      <c r="P297" s="8"/>
    </row>
    <row r="298">
      <c r="M298" s="8"/>
      <c r="P298" s="8"/>
    </row>
    <row r="299">
      <c r="M299" s="8"/>
      <c r="P299" s="8"/>
    </row>
    <row r="300">
      <c r="M300" s="8"/>
      <c r="P300" s="8"/>
    </row>
    <row r="301">
      <c r="M301" s="8"/>
      <c r="P301" s="8"/>
    </row>
    <row r="302">
      <c r="M302" s="8"/>
      <c r="P302" s="8"/>
    </row>
    <row r="303">
      <c r="M303" s="8"/>
      <c r="P303" s="8"/>
    </row>
    <row r="304">
      <c r="M304" s="8"/>
      <c r="P304" s="8"/>
    </row>
    <row r="305">
      <c r="M305" s="8"/>
      <c r="P305" s="8"/>
    </row>
    <row r="306">
      <c r="M306" s="8"/>
      <c r="P306" s="8"/>
    </row>
    <row r="307">
      <c r="M307" s="8"/>
      <c r="P307" s="8"/>
    </row>
    <row r="308">
      <c r="M308" s="8"/>
      <c r="P308" s="8"/>
    </row>
    <row r="309">
      <c r="M309" s="8"/>
      <c r="P309" s="8"/>
    </row>
    <row r="310">
      <c r="M310" s="8"/>
      <c r="P310" s="8"/>
    </row>
    <row r="311">
      <c r="M311" s="8"/>
      <c r="P311" s="8"/>
    </row>
    <row r="312">
      <c r="M312" s="8"/>
      <c r="P312" s="8"/>
    </row>
    <row r="313">
      <c r="M313" s="8"/>
      <c r="P313" s="8"/>
    </row>
    <row r="314">
      <c r="M314" s="8"/>
      <c r="P314" s="8"/>
    </row>
    <row r="315">
      <c r="M315" s="8"/>
      <c r="P315" s="8"/>
    </row>
    <row r="316">
      <c r="M316" s="8"/>
      <c r="P316" s="8"/>
    </row>
    <row r="317">
      <c r="M317" s="8"/>
      <c r="P317" s="8"/>
    </row>
    <row r="318">
      <c r="M318" s="8"/>
      <c r="P318" s="8"/>
    </row>
    <row r="319">
      <c r="M319" s="8"/>
      <c r="P319" s="8"/>
    </row>
    <row r="320">
      <c r="M320" s="8"/>
      <c r="P320" s="8"/>
    </row>
    <row r="321">
      <c r="M321" s="8"/>
      <c r="P321" s="8"/>
    </row>
    <row r="322">
      <c r="M322" s="8"/>
      <c r="P322" s="8"/>
    </row>
    <row r="323">
      <c r="M323" s="8"/>
      <c r="P323" s="8"/>
    </row>
    <row r="324">
      <c r="M324" s="8"/>
      <c r="P324" s="8"/>
    </row>
    <row r="325">
      <c r="M325" s="8"/>
      <c r="P325" s="8"/>
    </row>
    <row r="326">
      <c r="M326" s="8"/>
      <c r="P326" s="8"/>
    </row>
    <row r="327">
      <c r="M327" s="8"/>
      <c r="P327" s="8"/>
    </row>
    <row r="328">
      <c r="M328" s="8"/>
      <c r="P328" s="8"/>
    </row>
    <row r="329">
      <c r="M329" s="8"/>
      <c r="P329" s="8"/>
    </row>
    <row r="330">
      <c r="M330" s="8"/>
      <c r="P330" s="8"/>
    </row>
    <row r="331">
      <c r="M331" s="8"/>
      <c r="P331" s="8"/>
    </row>
    <row r="332">
      <c r="M332" s="8"/>
      <c r="P332" s="8"/>
    </row>
    <row r="333">
      <c r="M333" s="8"/>
      <c r="P333" s="8"/>
    </row>
    <row r="334">
      <c r="M334" s="8"/>
      <c r="P334" s="8"/>
    </row>
    <row r="335">
      <c r="M335" s="8"/>
      <c r="P335" s="8"/>
    </row>
    <row r="336">
      <c r="M336" s="8"/>
      <c r="P336" s="8"/>
    </row>
    <row r="337">
      <c r="M337" s="8"/>
      <c r="P337" s="8"/>
    </row>
    <row r="338">
      <c r="M338" s="8"/>
      <c r="P338" s="8"/>
    </row>
    <row r="339">
      <c r="M339" s="8"/>
      <c r="P339" s="8"/>
    </row>
    <row r="340">
      <c r="M340" s="8"/>
      <c r="P340" s="8"/>
    </row>
    <row r="341">
      <c r="M341" s="8"/>
      <c r="P341" s="8"/>
    </row>
    <row r="342">
      <c r="M342" s="8"/>
      <c r="P342" s="8"/>
    </row>
    <row r="343">
      <c r="M343" s="8"/>
      <c r="P343" s="8"/>
    </row>
    <row r="344">
      <c r="M344" s="8"/>
      <c r="P344" s="8"/>
    </row>
    <row r="345">
      <c r="M345" s="8"/>
      <c r="P345" s="8"/>
    </row>
    <row r="346">
      <c r="M346" s="8"/>
      <c r="P346" s="8"/>
    </row>
    <row r="347">
      <c r="M347" s="8"/>
      <c r="P347" s="8"/>
    </row>
    <row r="348">
      <c r="M348" s="8"/>
      <c r="P348" s="8"/>
    </row>
    <row r="349">
      <c r="M349" s="8"/>
      <c r="P349" s="8"/>
    </row>
    <row r="350">
      <c r="M350" s="8"/>
      <c r="P350" s="8"/>
    </row>
    <row r="351">
      <c r="M351" s="8"/>
      <c r="P351" s="8"/>
    </row>
    <row r="352">
      <c r="M352" s="8"/>
      <c r="P352" s="8"/>
    </row>
    <row r="353">
      <c r="M353" s="8"/>
      <c r="P353" s="8"/>
    </row>
    <row r="354">
      <c r="M354" s="8"/>
      <c r="P354" s="8"/>
    </row>
    <row r="355">
      <c r="M355" s="8"/>
      <c r="P355" s="8"/>
    </row>
    <row r="356">
      <c r="M356" s="8"/>
      <c r="P356" s="8"/>
    </row>
    <row r="357">
      <c r="M357" s="8"/>
      <c r="P357" s="8"/>
    </row>
    <row r="358">
      <c r="M358" s="8"/>
      <c r="P358" s="8"/>
    </row>
    <row r="359">
      <c r="M359" s="8"/>
      <c r="P359" s="8"/>
    </row>
    <row r="360">
      <c r="M360" s="8"/>
      <c r="P360" s="8"/>
    </row>
    <row r="361">
      <c r="M361" s="8"/>
      <c r="P361" s="8"/>
    </row>
    <row r="362">
      <c r="M362" s="8"/>
      <c r="P362" s="8"/>
    </row>
    <row r="363">
      <c r="M363" s="8"/>
      <c r="P363" s="8"/>
    </row>
    <row r="364">
      <c r="M364" s="8"/>
      <c r="P364" s="8"/>
    </row>
    <row r="365">
      <c r="M365" s="8"/>
      <c r="P365" s="8"/>
    </row>
    <row r="366">
      <c r="M366" s="8"/>
      <c r="P366" s="8"/>
    </row>
    <row r="367">
      <c r="M367" s="8"/>
      <c r="P367" s="8"/>
    </row>
    <row r="368">
      <c r="M368" s="8"/>
      <c r="P368" s="8"/>
    </row>
    <row r="369">
      <c r="M369" s="8"/>
      <c r="P369" s="8"/>
    </row>
    <row r="370">
      <c r="M370" s="8"/>
      <c r="P370" s="8"/>
    </row>
    <row r="371">
      <c r="M371" s="8"/>
      <c r="P371" s="8"/>
    </row>
    <row r="372">
      <c r="M372" s="8"/>
      <c r="P372" s="8"/>
    </row>
    <row r="373">
      <c r="M373" s="8"/>
      <c r="P373" s="8"/>
    </row>
    <row r="374">
      <c r="M374" s="8"/>
      <c r="P374" s="8"/>
    </row>
    <row r="375">
      <c r="M375" s="8"/>
      <c r="P375" s="8"/>
    </row>
    <row r="376">
      <c r="M376" s="8"/>
      <c r="P376" s="8"/>
    </row>
    <row r="377">
      <c r="M377" s="8"/>
      <c r="P377" s="8"/>
    </row>
    <row r="378">
      <c r="M378" s="8"/>
      <c r="P378" s="8"/>
    </row>
    <row r="379">
      <c r="M379" s="8"/>
      <c r="P379" s="8"/>
    </row>
    <row r="380">
      <c r="M380" s="8"/>
      <c r="P380" s="8"/>
    </row>
    <row r="381">
      <c r="M381" s="8"/>
      <c r="P381" s="8"/>
    </row>
    <row r="382">
      <c r="M382" s="8"/>
      <c r="P382" s="8"/>
    </row>
    <row r="383">
      <c r="M383" s="8"/>
      <c r="P383" s="8"/>
    </row>
    <row r="384">
      <c r="M384" s="8"/>
      <c r="P384" s="8"/>
    </row>
    <row r="385">
      <c r="M385" s="8"/>
      <c r="P385" s="8"/>
    </row>
    <row r="386">
      <c r="M386" s="8"/>
      <c r="P386" s="8"/>
    </row>
    <row r="387">
      <c r="M387" s="8"/>
      <c r="P387" s="8"/>
    </row>
    <row r="388">
      <c r="M388" s="8"/>
      <c r="P388" s="8"/>
    </row>
    <row r="389">
      <c r="M389" s="8"/>
      <c r="P389" s="8"/>
    </row>
    <row r="390">
      <c r="M390" s="8"/>
      <c r="P390" s="8"/>
    </row>
    <row r="391">
      <c r="M391" s="8"/>
      <c r="P391" s="8"/>
    </row>
    <row r="392">
      <c r="M392" s="8"/>
      <c r="P392" s="8"/>
    </row>
    <row r="393">
      <c r="M393" s="8"/>
      <c r="P393" s="8"/>
    </row>
    <row r="394">
      <c r="M394" s="8"/>
      <c r="P394" s="8"/>
    </row>
    <row r="395">
      <c r="M395" s="8"/>
      <c r="P395" s="8"/>
    </row>
    <row r="396">
      <c r="M396" s="8"/>
      <c r="P396" s="8"/>
    </row>
    <row r="397">
      <c r="M397" s="8"/>
      <c r="P397" s="8"/>
    </row>
    <row r="398">
      <c r="M398" s="8"/>
      <c r="P398" s="8"/>
    </row>
    <row r="399">
      <c r="M399" s="8"/>
      <c r="P399" s="8"/>
    </row>
    <row r="400">
      <c r="M400" s="8"/>
      <c r="P400" s="8"/>
    </row>
    <row r="401">
      <c r="M401" s="8"/>
      <c r="P401" s="8"/>
    </row>
    <row r="402">
      <c r="M402" s="8"/>
      <c r="P402" s="8"/>
    </row>
    <row r="403">
      <c r="M403" s="8"/>
      <c r="P403" s="8"/>
    </row>
    <row r="404">
      <c r="M404" s="8"/>
      <c r="P404" s="8"/>
    </row>
    <row r="405">
      <c r="M405" s="8"/>
      <c r="P405" s="8"/>
    </row>
    <row r="406">
      <c r="M406" s="8"/>
      <c r="P406" s="8"/>
    </row>
    <row r="407">
      <c r="M407" s="8"/>
      <c r="P407" s="8"/>
    </row>
    <row r="408">
      <c r="M408" s="8"/>
      <c r="P408" s="8"/>
    </row>
    <row r="409">
      <c r="M409" s="8"/>
      <c r="P409" s="8"/>
    </row>
    <row r="410">
      <c r="M410" s="8"/>
      <c r="P410" s="8"/>
    </row>
    <row r="411">
      <c r="M411" s="8"/>
      <c r="P411" s="8"/>
    </row>
    <row r="412">
      <c r="M412" s="8"/>
      <c r="P412" s="8"/>
    </row>
    <row r="413">
      <c r="M413" s="8"/>
      <c r="P413" s="8"/>
    </row>
    <row r="414">
      <c r="M414" s="8"/>
      <c r="P414" s="8"/>
    </row>
    <row r="415">
      <c r="M415" s="8"/>
      <c r="P415" s="8"/>
    </row>
    <row r="416">
      <c r="M416" s="8"/>
      <c r="P416" s="8"/>
    </row>
    <row r="417">
      <c r="M417" s="8"/>
      <c r="P417" s="8"/>
    </row>
    <row r="418">
      <c r="M418" s="8"/>
      <c r="P418" s="8"/>
    </row>
    <row r="419">
      <c r="M419" s="8"/>
      <c r="P419" s="8"/>
    </row>
    <row r="420">
      <c r="M420" s="8"/>
      <c r="P420" s="8"/>
    </row>
    <row r="421">
      <c r="M421" s="8"/>
      <c r="P421" s="8"/>
    </row>
    <row r="422">
      <c r="M422" s="8"/>
      <c r="P422" s="8"/>
    </row>
    <row r="423">
      <c r="M423" s="8"/>
      <c r="P423" s="8"/>
    </row>
    <row r="424">
      <c r="M424" s="8"/>
      <c r="P424" s="8"/>
    </row>
    <row r="425">
      <c r="M425" s="8"/>
      <c r="P425" s="8"/>
    </row>
    <row r="426">
      <c r="M426" s="8"/>
      <c r="P426" s="8"/>
    </row>
    <row r="427">
      <c r="M427" s="8"/>
      <c r="P427" s="8"/>
    </row>
    <row r="428">
      <c r="M428" s="8"/>
      <c r="P428" s="8"/>
    </row>
    <row r="429">
      <c r="M429" s="8"/>
      <c r="P429" s="8"/>
    </row>
    <row r="430">
      <c r="M430" s="8"/>
      <c r="P430" s="8"/>
    </row>
    <row r="431">
      <c r="M431" s="8"/>
      <c r="P431" s="8"/>
    </row>
    <row r="432">
      <c r="M432" s="8"/>
      <c r="P432" s="8"/>
    </row>
    <row r="433">
      <c r="M433" s="8"/>
      <c r="P433" s="8"/>
    </row>
    <row r="434">
      <c r="M434" s="8"/>
      <c r="P434" s="8"/>
    </row>
    <row r="435">
      <c r="M435" s="8"/>
      <c r="P435" s="8"/>
    </row>
    <row r="436">
      <c r="M436" s="8"/>
      <c r="P436" s="8"/>
    </row>
    <row r="437">
      <c r="M437" s="8"/>
      <c r="P437" s="8"/>
    </row>
    <row r="438">
      <c r="M438" s="8"/>
      <c r="P438" s="8"/>
    </row>
    <row r="439">
      <c r="M439" s="8"/>
      <c r="P439" s="8"/>
    </row>
    <row r="440">
      <c r="M440" s="8"/>
      <c r="P440" s="8"/>
    </row>
    <row r="441">
      <c r="M441" s="8"/>
      <c r="P441" s="8"/>
    </row>
    <row r="442">
      <c r="M442" s="8"/>
      <c r="P442" s="8"/>
    </row>
    <row r="443">
      <c r="M443" s="8"/>
      <c r="P443" s="8"/>
    </row>
    <row r="444">
      <c r="M444" s="8"/>
      <c r="P444" s="8"/>
    </row>
    <row r="445">
      <c r="M445" s="8"/>
      <c r="P445" s="8"/>
    </row>
    <row r="446">
      <c r="M446" s="8"/>
      <c r="P446" s="8"/>
    </row>
    <row r="447">
      <c r="M447" s="8"/>
      <c r="P447" s="8"/>
    </row>
    <row r="448">
      <c r="M448" s="8"/>
      <c r="P448" s="8"/>
    </row>
    <row r="449">
      <c r="M449" s="8"/>
      <c r="P449" s="8"/>
    </row>
    <row r="450">
      <c r="M450" s="8"/>
      <c r="P450" s="8"/>
    </row>
    <row r="451">
      <c r="M451" s="8"/>
      <c r="P451" s="8"/>
    </row>
    <row r="452">
      <c r="M452" s="8"/>
      <c r="P452" s="8"/>
    </row>
    <row r="453">
      <c r="M453" s="8"/>
      <c r="P453" s="8"/>
    </row>
    <row r="454">
      <c r="M454" s="8"/>
      <c r="P454" s="8"/>
    </row>
    <row r="455">
      <c r="M455" s="8"/>
      <c r="P455" s="8"/>
    </row>
    <row r="456">
      <c r="M456" s="8"/>
      <c r="P456" s="8"/>
    </row>
    <row r="457">
      <c r="M457" s="8"/>
      <c r="P457" s="8"/>
    </row>
    <row r="458">
      <c r="M458" s="8"/>
      <c r="P458" s="8"/>
    </row>
    <row r="459">
      <c r="M459" s="8"/>
      <c r="P459" s="8"/>
    </row>
    <row r="460">
      <c r="M460" s="8"/>
      <c r="P460" s="8"/>
    </row>
    <row r="461">
      <c r="M461" s="8"/>
      <c r="P461" s="8"/>
    </row>
    <row r="462">
      <c r="M462" s="8"/>
      <c r="P462" s="8"/>
    </row>
    <row r="463">
      <c r="M463" s="8"/>
      <c r="P463" s="8"/>
    </row>
    <row r="464">
      <c r="M464" s="8"/>
      <c r="P464" s="8"/>
    </row>
    <row r="465">
      <c r="M465" s="8"/>
      <c r="P465" s="8"/>
    </row>
    <row r="466">
      <c r="M466" s="8"/>
      <c r="P466" s="8"/>
    </row>
    <row r="467">
      <c r="M467" s="8"/>
      <c r="P467" s="8"/>
    </row>
    <row r="468">
      <c r="M468" s="8"/>
      <c r="P468" s="8"/>
    </row>
    <row r="469">
      <c r="M469" s="8"/>
      <c r="P469" s="8"/>
    </row>
    <row r="470">
      <c r="M470" s="8"/>
      <c r="P470" s="8"/>
    </row>
    <row r="471">
      <c r="M471" s="8"/>
      <c r="P471" s="8"/>
    </row>
    <row r="472">
      <c r="M472" s="8"/>
      <c r="P472" s="8"/>
    </row>
    <row r="473">
      <c r="M473" s="8"/>
      <c r="P473" s="8"/>
    </row>
    <row r="474">
      <c r="M474" s="8"/>
      <c r="P474" s="8"/>
    </row>
    <row r="475">
      <c r="M475" s="8"/>
      <c r="P475" s="8"/>
    </row>
    <row r="476">
      <c r="M476" s="8"/>
      <c r="P476" s="8"/>
    </row>
    <row r="477">
      <c r="M477" s="8"/>
      <c r="P477" s="8"/>
    </row>
    <row r="478">
      <c r="M478" s="8"/>
      <c r="P478" s="8"/>
    </row>
    <row r="479">
      <c r="M479" s="8"/>
      <c r="P479" s="8"/>
    </row>
    <row r="480">
      <c r="M480" s="8"/>
      <c r="P480" s="8"/>
    </row>
    <row r="481">
      <c r="M481" s="8"/>
      <c r="P481" s="8"/>
    </row>
    <row r="482">
      <c r="M482" s="8"/>
      <c r="P482" s="8"/>
    </row>
    <row r="483">
      <c r="M483" s="8"/>
      <c r="P483" s="8"/>
    </row>
    <row r="484">
      <c r="M484" s="8"/>
      <c r="P484" s="8"/>
    </row>
    <row r="485">
      <c r="M485" s="8"/>
      <c r="P485" s="8"/>
    </row>
    <row r="486">
      <c r="M486" s="8"/>
      <c r="P486" s="8"/>
    </row>
    <row r="487">
      <c r="M487" s="8"/>
      <c r="P487" s="8"/>
    </row>
    <row r="488">
      <c r="M488" s="8"/>
      <c r="P488" s="8"/>
    </row>
    <row r="489">
      <c r="M489" s="8"/>
      <c r="P489" s="8"/>
    </row>
    <row r="490">
      <c r="M490" s="8"/>
      <c r="P490" s="8"/>
    </row>
    <row r="491">
      <c r="M491" s="8"/>
      <c r="P491" s="8"/>
    </row>
    <row r="492">
      <c r="M492" s="8"/>
      <c r="P492" s="8"/>
    </row>
    <row r="493">
      <c r="M493" s="8"/>
      <c r="P493" s="8"/>
    </row>
    <row r="494">
      <c r="M494" s="8"/>
      <c r="P494" s="8"/>
    </row>
    <row r="495">
      <c r="M495" s="8"/>
      <c r="P495" s="8"/>
    </row>
    <row r="496">
      <c r="M496" s="8"/>
      <c r="P496" s="8"/>
    </row>
    <row r="497">
      <c r="M497" s="8"/>
      <c r="P497" s="8"/>
    </row>
    <row r="498">
      <c r="M498" s="8"/>
      <c r="P498" s="8"/>
    </row>
    <row r="499">
      <c r="M499" s="8"/>
      <c r="P499" s="8"/>
    </row>
    <row r="500">
      <c r="M500" s="8"/>
      <c r="P500" s="8"/>
    </row>
    <row r="501">
      <c r="M501" s="8"/>
      <c r="P501" s="8"/>
    </row>
    <row r="502">
      <c r="M502" s="8"/>
      <c r="P502" s="8"/>
    </row>
    <row r="503">
      <c r="M503" s="8"/>
      <c r="P503" s="8"/>
    </row>
    <row r="504">
      <c r="M504" s="8"/>
      <c r="P504" s="8"/>
    </row>
    <row r="505">
      <c r="M505" s="8"/>
      <c r="P505" s="8"/>
    </row>
    <row r="506">
      <c r="M506" s="8"/>
      <c r="P506" s="8"/>
    </row>
    <row r="507">
      <c r="M507" s="8"/>
      <c r="P507" s="8"/>
    </row>
    <row r="508">
      <c r="M508" s="8"/>
      <c r="P508" s="8"/>
    </row>
    <row r="509">
      <c r="M509" s="8"/>
      <c r="P509" s="8"/>
    </row>
    <row r="510">
      <c r="M510" s="8"/>
      <c r="P510" s="8"/>
    </row>
    <row r="511">
      <c r="M511" s="8"/>
      <c r="P511" s="8"/>
    </row>
    <row r="512">
      <c r="M512" s="8"/>
      <c r="P512" s="8"/>
    </row>
    <row r="513">
      <c r="M513" s="8"/>
      <c r="P513" s="8"/>
    </row>
    <row r="514">
      <c r="M514" s="8"/>
      <c r="P514" s="8"/>
    </row>
    <row r="515">
      <c r="M515" s="8"/>
      <c r="P515" s="8"/>
    </row>
    <row r="516">
      <c r="M516" s="8"/>
      <c r="P516" s="8"/>
    </row>
    <row r="517">
      <c r="M517" s="8"/>
      <c r="P517" s="8"/>
    </row>
    <row r="518">
      <c r="M518" s="8"/>
      <c r="P518" s="8"/>
    </row>
    <row r="519">
      <c r="M519" s="8"/>
      <c r="P519" s="8"/>
    </row>
    <row r="520">
      <c r="M520" s="8"/>
      <c r="P520" s="8"/>
    </row>
    <row r="521">
      <c r="M521" s="8"/>
      <c r="P521" s="8"/>
    </row>
    <row r="522">
      <c r="M522" s="8"/>
      <c r="P522" s="8"/>
    </row>
    <row r="523">
      <c r="M523" s="8"/>
      <c r="P523" s="8"/>
    </row>
    <row r="524">
      <c r="M524" s="8"/>
      <c r="P524" s="8"/>
    </row>
    <row r="525">
      <c r="M525" s="8"/>
      <c r="P525" s="8"/>
    </row>
    <row r="526">
      <c r="M526" s="8"/>
      <c r="P526" s="8"/>
    </row>
    <row r="527">
      <c r="M527" s="8"/>
      <c r="P527" s="8"/>
    </row>
    <row r="528">
      <c r="M528" s="8"/>
      <c r="P528" s="8"/>
    </row>
    <row r="529">
      <c r="M529" s="8"/>
      <c r="P529" s="8"/>
    </row>
    <row r="530">
      <c r="M530" s="8"/>
      <c r="P530" s="8"/>
    </row>
    <row r="531">
      <c r="M531" s="8"/>
      <c r="P531" s="8"/>
    </row>
    <row r="532">
      <c r="M532" s="8"/>
      <c r="P532" s="8"/>
    </row>
    <row r="533">
      <c r="M533" s="8"/>
      <c r="P533" s="8"/>
    </row>
    <row r="534">
      <c r="M534" s="8"/>
      <c r="P534" s="8"/>
    </row>
    <row r="535">
      <c r="M535" s="8"/>
      <c r="P535" s="8"/>
    </row>
    <row r="536">
      <c r="M536" s="8"/>
      <c r="P536" s="8"/>
    </row>
    <row r="537">
      <c r="M537" s="8"/>
      <c r="P537" s="8"/>
    </row>
    <row r="538">
      <c r="M538" s="8"/>
      <c r="P538" s="8"/>
    </row>
    <row r="539">
      <c r="M539" s="8"/>
      <c r="P539" s="8"/>
    </row>
    <row r="540">
      <c r="M540" s="8"/>
      <c r="P540" s="8"/>
    </row>
    <row r="541">
      <c r="M541" s="8"/>
      <c r="P541" s="8"/>
    </row>
    <row r="542">
      <c r="M542" s="8"/>
      <c r="P542" s="8"/>
    </row>
    <row r="543">
      <c r="M543" s="8"/>
      <c r="P543" s="8"/>
    </row>
    <row r="544">
      <c r="M544" s="8"/>
      <c r="P544" s="8"/>
    </row>
    <row r="545">
      <c r="M545" s="8"/>
      <c r="P545" s="8"/>
    </row>
    <row r="546">
      <c r="M546" s="8"/>
      <c r="P546" s="8"/>
    </row>
    <row r="547">
      <c r="M547" s="8"/>
      <c r="P547" s="8"/>
    </row>
    <row r="548">
      <c r="M548" s="8"/>
      <c r="P548" s="8"/>
    </row>
    <row r="549">
      <c r="M549" s="8"/>
      <c r="P549" s="8"/>
    </row>
    <row r="550">
      <c r="M550" s="8"/>
      <c r="P550" s="8"/>
    </row>
    <row r="551">
      <c r="M551" s="8"/>
      <c r="P551" s="8"/>
    </row>
    <row r="552">
      <c r="M552" s="8"/>
      <c r="P552" s="8"/>
    </row>
    <row r="553">
      <c r="M553" s="8"/>
      <c r="P553" s="8"/>
    </row>
    <row r="554">
      <c r="M554" s="8"/>
      <c r="P554" s="8"/>
    </row>
    <row r="555">
      <c r="M555" s="8"/>
      <c r="P555" s="8"/>
    </row>
    <row r="556">
      <c r="M556" s="8"/>
      <c r="P556" s="8"/>
    </row>
    <row r="557">
      <c r="M557" s="8"/>
      <c r="P557" s="8"/>
    </row>
    <row r="558">
      <c r="M558" s="8"/>
      <c r="P558" s="8"/>
    </row>
    <row r="559">
      <c r="M559" s="8"/>
      <c r="P559" s="8"/>
    </row>
    <row r="560">
      <c r="M560" s="8"/>
      <c r="P560" s="8"/>
    </row>
    <row r="561">
      <c r="M561" s="8"/>
      <c r="P561" s="8"/>
    </row>
    <row r="562">
      <c r="M562" s="8"/>
      <c r="P562" s="8"/>
    </row>
    <row r="563">
      <c r="M563" s="8"/>
      <c r="P563" s="8"/>
    </row>
    <row r="564">
      <c r="M564" s="8"/>
      <c r="P564" s="8"/>
    </row>
    <row r="565">
      <c r="M565" s="8"/>
      <c r="P565" s="8"/>
    </row>
    <row r="566">
      <c r="M566" s="8"/>
      <c r="P566" s="8"/>
    </row>
    <row r="567">
      <c r="M567" s="8"/>
      <c r="P567" s="8"/>
    </row>
    <row r="568">
      <c r="M568" s="8"/>
      <c r="P568" s="8"/>
    </row>
    <row r="569">
      <c r="M569" s="8"/>
      <c r="P569" s="8"/>
    </row>
    <row r="570">
      <c r="M570" s="8"/>
      <c r="P570" s="8"/>
    </row>
    <row r="571">
      <c r="M571" s="8"/>
      <c r="P571" s="8"/>
    </row>
    <row r="572">
      <c r="M572" s="8"/>
      <c r="P572" s="8"/>
    </row>
    <row r="573">
      <c r="M573" s="8"/>
      <c r="P573" s="8"/>
    </row>
    <row r="574">
      <c r="M574" s="8"/>
      <c r="P574" s="8"/>
    </row>
    <row r="575">
      <c r="M575" s="8"/>
      <c r="P575" s="8"/>
    </row>
    <row r="576">
      <c r="M576" s="8"/>
      <c r="P576" s="8"/>
    </row>
    <row r="577">
      <c r="M577" s="8"/>
      <c r="P577" s="8"/>
    </row>
    <row r="578">
      <c r="M578" s="8"/>
      <c r="P578" s="8"/>
    </row>
    <row r="579">
      <c r="M579" s="8"/>
      <c r="P579" s="8"/>
    </row>
    <row r="580">
      <c r="M580" s="8"/>
      <c r="P580" s="8"/>
    </row>
    <row r="581">
      <c r="M581" s="8"/>
      <c r="P581" s="8"/>
    </row>
    <row r="582">
      <c r="M582" s="8"/>
      <c r="P582" s="8"/>
    </row>
    <row r="583">
      <c r="M583" s="8"/>
      <c r="P583" s="8"/>
    </row>
    <row r="584">
      <c r="M584" s="8"/>
      <c r="P584" s="8"/>
    </row>
    <row r="585">
      <c r="M585" s="8"/>
      <c r="P585" s="8"/>
    </row>
    <row r="586">
      <c r="M586" s="8"/>
      <c r="P586" s="8"/>
    </row>
    <row r="587">
      <c r="M587" s="8"/>
      <c r="P587" s="8"/>
    </row>
    <row r="588">
      <c r="M588" s="8"/>
      <c r="P588" s="8"/>
    </row>
    <row r="589">
      <c r="M589" s="8"/>
      <c r="P589" s="8"/>
    </row>
    <row r="590">
      <c r="M590" s="8"/>
      <c r="P590" s="8"/>
    </row>
    <row r="591">
      <c r="M591" s="8"/>
      <c r="P591" s="8"/>
    </row>
    <row r="592">
      <c r="M592" s="8"/>
      <c r="P592" s="8"/>
    </row>
    <row r="593">
      <c r="M593" s="8"/>
      <c r="P593" s="8"/>
    </row>
    <row r="594">
      <c r="M594" s="8"/>
      <c r="P594" s="8"/>
    </row>
    <row r="595">
      <c r="M595" s="8"/>
      <c r="P595" s="8"/>
    </row>
    <row r="596">
      <c r="M596" s="8"/>
      <c r="P596" s="8"/>
    </row>
    <row r="597">
      <c r="M597" s="8"/>
      <c r="P597" s="8"/>
    </row>
    <row r="598">
      <c r="M598" s="8"/>
      <c r="P598" s="8"/>
    </row>
    <row r="599">
      <c r="M599" s="8"/>
      <c r="P599" s="8"/>
    </row>
    <row r="600">
      <c r="M600" s="8"/>
      <c r="P600" s="8"/>
    </row>
    <row r="601">
      <c r="M601" s="8"/>
      <c r="P601" s="8"/>
    </row>
    <row r="602">
      <c r="M602" s="8"/>
      <c r="P602" s="8"/>
    </row>
    <row r="603">
      <c r="M603" s="8"/>
      <c r="P603" s="8"/>
    </row>
    <row r="604">
      <c r="M604" s="8"/>
      <c r="P604" s="8"/>
    </row>
    <row r="605">
      <c r="M605" s="8"/>
      <c r="P605" s="8"/>
    </row>
    <row r="606">
      <c r="M606" s="8"/>
      <c r="P606" s="8"/>
    </row>
    <row r="607">
      <c r="M607" s="8"/>
      <c r="P607" s="8"/>
    </row>
    <row r="608">
      <c r="M608" s="8"/>
      <c r="P608" s="8"/>
    </row>
    <row r="609">
      <c r="M609" s="8"/>
      <c r="P609" s="8"/>
    </row>
    <row r="610">
      <c r="M610" s="8"/>
      <c r="P610" s="8"/>
    </row>
    <row r="611">
      <c r="M611" s="8"/>
      <c r="P611" s="8"/>
    </row>
    <row r="612">
      <c r="M612" s="8"/>
      <c r="P612" s="8"/>
    </row>
    <row r="613">
      <c r="M613" s="8"/>
      <c r="P613" s="8"/>
    </row>
    <row r="614">
      <c r="M614" s="8"/>
      <c r="P614" s="8"/>
    </row>
    <row r="615">
      <c r="M615" s="8"/>
      <c r="P615" s="8"/>
    </row>
    <row r="616">
      <c r="M616" s="8"/>
      <c r="P616" s="8"/>
    </row>
    <row r="617">
      <c r="M617" s="8"/>
      <c r="P617" s="8"/>
    </row>
    <row r="618">
      <c r="M618" s="8"/>
      <c r="P618" s="8"/>
    </row>
    <row r="619">
      <c r="M619" s="8"/>
      <c r="P619" s="8"/>
    </row>
    <row r="620">
      <c r="M620" s="8"/>
      <c r="P620" s="8"/>
    </row>
    <row r="621">
      <c r="M621" s="8"/>
      <c r="P621" s="8"/>
    </row>
    <row r="622">
      <c r="M622" s="8"/>
      <c r="P622" s="8"/>
    </row>
    <row r="623">
      <c r="M623" s="8"/>
      <c r="P623" s="8"/>
    </row>
    <row r="624">
      <c r="M624" s="8"/>
      <c r="P624" s="8"/>
    </row>
    <row r="625">
      <c r="M625" s="8"/>
      <c r="P625" s="8"/>
    </row>
    <row r="626">
      <c r="M626" s="8"/>
      <c r="P626" s="8"/>
    </row>
    <row r="627">
      <c r="M627" s="8"/>
      <c r="P627" s="8"/>
    </row>
    <row r="628">
      <c r="M628" s="8"/>
      <c r="P628" s="8"/>
    </row>
    <row r="629">
      <c r="M629" s="8"/>
      <c r="P629" s="8"/>
    </row>
    <row r="630">
      <c r="M630" s="8"/>
      <c r="P630" s="8"/>
    </row>
    <row r="631">
      <c r="M631" s="8"/>
      <c r="P631" s="8"/>
    </row>
    <row r="632">
      <c r="M632" s="8"/>
      <c r="P632" s="8"/>
    </row>
    <row r="633">
      <c r="M633" s="8"/>
      <c r="P633" s="8"/>
    </row>
    <row r="634">
      <c r="M634" s="8"/>
      <c r="P634" s="8"/>
    </row>
    <row r="635">
      <c r="M635" s="8"/>
      <c r="P635" s="8"/>
    </row>
    <row r="636">
      <c r="M636" s="8"/>
      <c r="P636" s="8"/>
    </row>
    <row r="637">
      <c r="M637" s="8"/>
      <c r="P637" s="8"/>
    </row>
    <row r="638">
      <c r="M638" s="8"/>
      <c r="P638" s="8"/>
    </row>
    <row r="639">
      <c r="M639" s="8"/>
      <c r="P639" s="8"/>
    </row>
    <row r="640">
      <c r="M640" s="8"/>
      <c r="P640" s="8"/>
    </row>
    <row r="641">
      <c r="M641" s="8"/>
      <c r="P641" s="8"/>
    </row>
    <row r="642">
      <c r="M642" s="8"/>
      <c r="P642" s="8"/>
    </row>
    <row r="643">
      <c r="M643" s="8"/>
      <c r="P643" s="8"/>
    </row>
    <row r="644">
      <c r="M644" s="8"/>
      <c r="P644" s="8"/>
    </row>
    <row r="645">
      <c r="M645" s="8"/>
      <c r="P645" s="8"/>
    </row>
    <row r="646">
      <c r="M646" s="8"/>
      <c r="P646" s="8"/>
    </row>
    <row r="647">
      <c r="M647" s="8"/>
      <c r="P647" s="8"/>
    </row>
    <row r="648">
      <c r="M648" s="8"/>
      <c r="P648" s="8"/>
    </row>
    <row r="649">
      <c r="M649" s="8"/>
      <c r="P649" s="8"/>
    </row>
    <row r="650">
      <c r="M650" s="8"/>
      <c r="P650" s="8"/>
    </row>
    <row r="651">
      <c r="M651" s="8"/>
      <c r="P651" s="8"/>
    </row>
    <row r="652">
      <c r="M652" s="8"/>
      <c r="P652" s="8"/>
    </row>
    <row r="653">
      <c r="M653" s="8"/>
      <c r="P653" s="8"/>
    </row>
    <row r="654">
      <c r="M654" s="8"/>
      <c r="P654" s="8"/>
    </row>
    <row r="655">
      <c r="M655" s="8"/>
      <c r="P655" s="8"/>
    </row>
    <row r="656">
      <c r="M656" s="8"/>
      <c r="P656" s="8"/>
    </row>
    <row r="657">
      <c r="M657" s="8"/>
      <c r="P657" s="8"/>
    </row>
    <row r="658">
      <c r="M658" s="8"/>
      <c r="P658" s="8"/>
    </row>
    <row r="659">
      <c r="M659" s="8"/>
      <c r="P659" s="8"/>
    </row>
    <row r="660">
      <c r="M660" s="8"/>
      <c r="P660" s="8"/>
    </row>
    <row r="661">
      <c r="M661" s="8"/>
      <c r="P661" s="8"/>
    </row>
    <row r="662">
      <c r="M662" s="8"/>
      <c r="P662" s="8"/>
    </row>
    <row r="663">
      <c r="M663" s="8"/>
      <c r="P663" s="8"/>
    </row>
    <row r="664">
      <c r="M664" s="8"/>
      <c r="P664" s="8"/>
    </row>
    <row r="665">
      <c r="M665" s="8"/>
      <c r="P665" s="8"/>
    </row>
    <row r="666">
      <c r="M666" s="8"/>
      <c r="P666" s="8"/>
    </row>
    <row r="667">
      <c r="M667" s="8"/>
      <c r="P667" s="8"/>
    </row>
    <row r="668">
      <c r="M668" s="8"/>
      <c r="P668" s="8"/>
    </row>
    <row r="669">
      <c r="M669" s="8"/>
      <c r="P669" s="8"/>
    </row>
    <row r="670">
      <c r="M670" s="8"/>
      <c r="P670" s="8"/>
    </row>
    <row r="671">
      <c r="M671" s="8"/>
      <c r="P671" s="8"/>
    </row>
    <row r="672">
      <c r="M672" s="8"/>
      <c r="P672" s="8"/>
    </row>
    <row r="673">
      <c r="M673" s="8"/>
      <c r="P673" s="8"/>
    </row>
    <row r="674">
      <c r="M674" s="8"/>
      <c r="P674" s="8"/>
    </row>
    <row r="675">
      <c r="M675" s="8"/>
      <c r="P675" s="8"/>
    </row>
    <row r="676">
      <c r="M676" s="8"/>
      <c r="P676" s="8"/>
    </row>
    <row r="677">
      <c r="M677" s="8"/>
      <c r="P677" s="8"/>
    </row>
    <row r="678">
      <c r="M678" s="8"/>
      <c r="P678" s="8"/>
    </row>
    <row r="679">
      <c r="M679" s="8"/>
      <c r="P679" s="8"/>
    </row>
    <row r="680">
      <c r="M680" s="8"/>
      <c r="P680" s="8"/>
    </row>
    <row r="681">
      <c r="M681" s="8"/>
      <c r="P681" s="8"/>
    </row>
    <row r="682">
      <c r="M682" s="8"/>
      <c r="P682" s="8"/>
    </row>
    <row r="683">
      <c r="M683" s="8"/>
      <c r="P683" s="8"/>
    </row>
    <row r="684">
      <c r="M684" s="8"/>
      <c r="P684" s="8"/>
    </row>
    <row r="685">
      <c r="M685" s="8"/>
      <c r="P685" s="8"/>
    </row>
    <row r="686">
      <c r="M686" s="8"/>
      <c r="P686" s="8"/>
    </row>
    <row r="687">
      <c r="M687" s="8"/>
      <c r="P687" s="8"/>
    </row>
    <row r="688">
      <c r="M688" s="8"/>
      <c r="P688" s="8"/>
    </row>
    <row r="689">
      <c r="M689" s="8"/>
      <c r="P689" s="8"/>
    </row>
    <row r="690">
      <c r="M690" s="8"/>
      <c r="P690" s="8"/>
    </row>
    <row r="691">
      <c r="M691" s="8"/>
      <c r="P691" s="8"/>
    </row>
    <row r="692">
      <c r="M692" s="8"/>
      <c r="P692" s="8"/>
    </row>
    <row r="693">
      <c r="M693" s="8"/>
      <c r="P693" s="8"/>
    </row>
    <row r="694">
      <c r="M694" s="8"/>
      <c r="P694" s="8"/>
    </row>
    <row r="695">
      <c r="M695" s="8"/>
      <c r="P695" s="8"/>
    </row>
    <row r="696">
      <c r="M696" s="8"/>
      <c r="P696" s="8"/>
    </row>
    <row r="697">
      <c r="M697" s="8"/>
      <c r="P697" s="8"/>
    </row>
    <row r="698">
      <c r="M698" s="8"/>
      <c r="P698" s="8"/>
    </row>
    <row r="699">
      <c r="M699" s="8"/>
      <c r="P699" s="8"/>
    </row>
    <row r="700">
      <c r="M700" s="8"/>
      <c r="P700" s="8"/>
    </row>
    <row r="701">
      <c r="M701" s="8"/>
      <c r="P701" s="8"/>
    </row>
    <row r="702">
      <c r="M702" s="8"/>
      <c r="P702" s="8"/>
    </row>
    <row r="703">
      <c r="M703" s="8"/>
      <c r="P703" s="8"/>
    </row>
    <row r="704">
      <c r="M704" s="8"/>
      <c r="P704" s="8"/>
    </row>
    <row r="705">
      <c r="M705" s="8"/>
      <c r="P705" s="8"/>
    </row>
    <row r="706">
      <c r="M706" s="8"/>
      <c r="P706" s="8"/>
    </row>
    <row r="707">
      <c r="M707" s="8"/>
      <c r="P707" s="8"/>
    </row>
    <row r="708">
      <c r="M708" s="8"/>
      <c r="P708" s="8"/>
    </row>
    <row r="709">
      <c r="M709" s="8"/>
      <c r="P709" s="8"/>
    </row>
    <row r="710">
      <c r="M710" s="8"/>
      <c r="P710" s="8"/>
    </row>
    <row r="711">
      <c r="M711" s="8"/>
      <c r="P711" s="8"/>
    </row>
    <row r="712">
      <c r="M712" s="8"/>
      <c r="P712" s="8"/>
    </row>
    <row r="713">
      <c r="M713" s="8"/>
      <c r="P713" s="8"/>
    </row>
    <row r="714">
      <c r="M714" s="8"/>
      <c r="P714" s="8"/>
    </row>
    <row r="715">
      <c r="M715" s="8"/>
      <c r="P715" s="8"/>
    </row>
    <row r="716">
      <c r="M716" s="8"/>
      <c r="P716" s="8"/>
    </row>
    <row r="717">
      <c r="M717" s="8"/>
      <c r="P717" s="8"/>
    </row>
    <row r="718">
      <c r="M718" s="8"/>
      <c r="P718" s="8"/>
    </row>
    <row r="719">
      <c r="M719" s="8"/>
      <c r="P719" s="8"/>
    </row>
    <row r="720">
      <c r="M720" s="8"/>
      <c r="P720" s="8"/>
    </row>
    <row r="721">
      <c r="M721" s="8"/>
      <c r="P721" s="8"/>
    </row>
    <row r="722">
      <c r="M722" s="8"/>
      <c r="P722" s="8"/>
    </row>
    <row r="723">
      <c r="M723" s="8"/>
      <c r="P723" s="8"/>
    </row>
    <row r="724">
      <c r="M724" s="8"/>
      <c r="P724" s="8"/>
    </row>
    <row r="725">
      <c r="M725" s="8"/>
      <c r="P725" s="8"/>
    </row>
    <row r="726">
      <c r="M726" s="8"/>
      <c r="P726" s="8"/>
    </row>
    <row r="727">
      <c r="M727" s="8"/>
      <c r="P727" s="8"/>
    </row>
    <row r="728">
      <c r="M728" s="8"/>
      <c r="P728" s="8"/>
    </row>
    <row r="729">
      <c r="M729" s="8"/>
      <c r="P729" s="8"/>
    </row>
    <row r="730">
      <c r="M730" s="8"/>
      <c r="P730" s="8"/>
    </row>
    <row r="731">
      <c r="M731" s="8"/>
      <c r="P731" s="8"/>
    </row>
    <row r="732">
      <c r="M732" s="8"/>
      <c r="P732" s="8"/>
    </row>
    <row r="733">
      <c r="M733" s="8"/>
      <c r="P733" s="8"/>
    </row>
    <row r="734">
      <c r="M734" s="8"/>
      <c r="P734" s="8"/>
    </row>
    <row r="735">
      <c r="M735" s="8"/>
      <c r="P735" s="8"/>
    </row>
    <row r="736">
      <c r="M736" s="8"/>
      <c r="P736" s="8"/>
    </row>
    <row r="737">
      <c r="M737" s="8"/>
      <c r="P737" s="8"/>
    </row>
    <row r="738">
      <c r="M738" s="8"/>
      <c r="P738" s="8"/>
    </row>
    <row r="739">
      <c r="M739" s="8"/>
      <c r="P739" s="8"/>
    </row>
    <row r="740">
      <c r="M740" s="8"/>
      <c r="P740" s="8"/>
    </row>
    <row r="741">
      <c r="M741" s="8"/>
      <c r="P741" s="8"/>
    </row>
    <row r="742">
      <c r="M742" s="8"/>
      <c r="P742" s="8"/>
    </row>
    <row r="743">
      <c r="M743" s="8"/>
      <c r="P743" s="8"/>
    </row>
    <row r="744">
      <c r="M744" s="8"/>
      <c r="P744" s="8"/>
    </row>
    <row r="745">
      <c r="M745" s="8"/>
      <c r="P745" s="8"/>
    </row>
    <row r="746">
      <c r="M746" s="8"/>
      <c r="P746" s="8"/>
    </row>
    <row r="747">
      <c r="M747" s="8"/>
      <c r="P747" s="8"/>
    </row>
    <row r="748">
      <c r="M748" s="8"/>
      <c r="P748" s="8"/>
    </row>
    <row r="749">
      <c r="M749" s="8"/>
      <c r="P749" s="8"/>
    </row>
    <row r="750">
      <c r="M750" s="8"/>
      <c r="P750" s="8"/>
    </row>
    <row r="751">
      <c r="M751" s="8"/>
      <c r="P751" s="8"/>
    </row>
    <row r="752">
      <c r="M752" s="8"/>
      <c r="P752" s="8"/>
    </row>
    <row r="753">
      <c r="M753" s="8"/>
      <c r="P753" s="8"/>
    </row>
    <row r="754">
      <c r="M754" s="8"/>
      <c r="P754" s="8"/>
    </row>
    <row r="755">
      <c r="M755" s="8"/>
      <c r="P755" s="8"/>
    </row>
    <row r="756">
      <c r="M756" s="8"/>
      <c r="P756" s="8"/>
    </row>
    <row r="757">
      <c r="M757" s="8"/>
      <c r="P757" s="8"/>
    </row>
    <row r="758">
      <c r="M758" s="8"/>
      <c r="P758" s="8"/>
    </row>
    <row r="759">
      <c r="M759" s="8"/>
      <c r="P759" s="8"/>
    </row>
    <row r="760">
      <c r="M760" s="8"/>
      <c r="P760" s="8"/>
    </row>
    <row r="761">
      <c r="M761" s="8"/>
      <c r="P761" s="8"/>
    </row>
    <row r="762">
      <c r="M762" s="8"/>
      <c r="P762" s="8"/>
    </row>
    <row r="763">
      <c r="M763" s="8"/>
      <c r="P763" s="8"/>
    </row>
    <row r="764">
      <c r="M764" s="8"/>
      <c r="P764" s="8"/>
    </row>
    <row r="765">
      <c r="M765" s="8"/>
      <c r="P765" s="8"/>
    </row>
    <row r="766">
      <c r="M766" s="8"/>
      <c r="P766" s="8"/>
    </row>
    <row r="767">
      <c r="M767" s="8"/>
      <c r="P767" s="8"/>
    </row>
    <row r="768">
      <c r="M768" s="8"/>
      <c r="P768" s="8"/>
    </row>
    <row r="769">
      <c r="M769" s="8"/>
      <c r="P769" s="8"/>
    </row>
    <row r="770">
      <c r="M770" s="8"/>
      <c r="P770" s="8"/>
    </row>
    <row r="771">
      <c r="M771" s="8"/>
      <c r="P771" s="8"/>
    </row>
    <row r="772">
      <c r="M772" s="8"/>
      <c r="P772" s="8"/>
    </row>
    <row r="773">
      <c r="M773" s="8"/>
      <c r="P773" s="8"/>
    </row>
    <row r="774">
      <c r="M774" s="8"/>
      <c r="P774" s="8"/>
    </row>
    <row r="775">
      <c r="M775" s="8"/>
      <c r="P775" s="8"/>
    </row>
    <row r="776">
      <c r="M776" s="8"/>
      <c r="P776" s="8"/>
    </row>
    <row r="777">
      <c r="M777" s="8"/>
      <c r="P777" s="8"/>
    </row>
    <row r="778">
      <c r="M778" s="8"/>
      <c r="P778" s="8"/>
    </row>
    <row r="779">
      <c r="M779" s="8"/>
      <c r="P779" s="8"/>
    </row>
    <row r="780">
      <c r="M780" s="8"/>
      <c r="P780" s="8"/>
    </row>
    <row r="781">
      <c r="M781" s="8"/>
      <c r="P781" s="8"/>
    </row>
    <row r="782">
      <c r="M782" s="8"/>
      <c r="P782" s="8"/>
    </row>
    <row r="783">
      <c r="M783" s="8"/>
      <c r="P783" s="8"/>
    </row>
    <row r="784">
      <c r="M784" s="8"/>
      <c r="P784" s="8"/>
    </row>
    <row r="785">
      <c r="M785" s="8"/>
      <c r="P785" s="8"/>
    </row>
    <row r="786">
      <c r="M786" s="8"/>
      <c r="P786" s="8"/>
    </row>
    <row r="787">
      <c r="M787" s="8"/>
      <c r="P787" s="8"/>
    </row>
    <row r="788">
      <c r="M788" s="8"/>
      <c r="P788" s="8"/>
    </row>
    <row r="789">
      <c r="M789" s="8"/>
      <c r="P789" s="8"/>
    </row>
    <row r="790">
      <c r="M790" s="8"/>
      <c r="P790" s="8"/>
    </row>
    <row r="791">
      <c r="M791" s="8"/>
      <c r="P791" s="8"/>
    </row>
    <row r="792">
      <c r="M792" s="8"/>
      <c r="P792" s="8"/>
    </row>
    <row r="793">
      <c r="M793" s="8"/>
      <c r="P793" s="8"/>
    </row>
    <row r="794">
      <c r="M794" s="8"/>
      <c r="P794" s="8"/>
    </row>
    <row r="795">
      <c r="M795" s="8"/>
      <c r="P795" s="8"/>
    </row>
    <row r="796">
      <c r="M796" s="8"/>
      <c r="P796" s="8"/>
    </row>
    <row r="797">
      <c r="M797" s="8"/>
      <c r="P797" s="8"/>
    </row>
    <row r="798">
      <c r="M798" s="8"/>
      <c r="P798" s="8"/>
    </row>
    <row r="799">
      <c r="M799" s="8"/>
      <c r="P799" s="8"/>
    </row>
    <row r="800">
      <c r="M800" s="8"/>
      <c r="P800" s="8"/>
    </row>
    <row r="801">
      <c r="M801" s="8"/>
      <c r="P801" s="8"/>
    </row>
    <row r="802">
      <c r="M802" s="8"/>
      <c r="P802" s="8"/>
    </row>
    <row r="803">
      <c r="M803" s="8"/>
      <c r="P803" s="8"/>
    </row>
    <row r="804">
      <c r="M804" s="8"/>
      <c r="P804" s="8"/>
    </row>
    <row r="805">
      <c r="M805" s="8"/>
      <c r="P805" s="8"/>
    </row>
    <row r="806">
      <c r="M806" s="8"/>
      <c r="P806" s="8"/>
    </row>
    <row r="807">
      <c r="M807" s="8"/>
      <c r="P807" s="8"/>
    </row>
    <row r="808">
      <c r="M808" s="8"/>
      <c r="P808" s="8"/>
    </row>
    <row r="809">
      <c r="M809" s="8"/>
      <c r="P809" s="8"/>
    </row>
    <row r="810">
      <c r="M810" s="8"/>
      <c r="P810" s="8"/>
    </row>
    <row r="811">
      <c r="M811" s="8"/>
      <c r="P811" s="8"/>
    </row>
    <row r="812">
      <c r="M812" s="8"/>
      <c r="P812" s="8"/>
    </row>
    <row r="813">
      <c r="M813" s="8"/>
      <c r="P813" s="8"/>
    </row>
    <row r="814">
      <c r="M814" s="8"/>
      <c r="P814" s="8"/>
    </row>
    <row r="815">
      <c r="M815" s="8"/>
      <c r="P815" s="8"/>
    </row>
    <row r="816">
      <c r="M816" s="8"/>
      <c r="P816" s="8"/>
    </row>
    <row r="817">
      <c r="M817" s="8"/>
      <c r="P817" s="8"/>
    </row>
    <row r="818">
      <c r="M818" s="8"/>
      <c r="P818" s="8"/>
    </row>
    <row r="819">
      <c r="M819" s="8"/>
      <c r="P819" s="8"/>
    </row>
    <row r="820">
      <c r="M820" s="8"/>
      <c r="P820" s="8"/>
    </row>
    <row r="821">
      <c r="M821" s="8"/>
      <c r="P821" s="8"/>
    </row>
    <row r="822">
      <c r="M822" s="8"/>
      <c r="P822" s="8"/>
    </row>
    <row r="823">
      <c r="M823" s="8"/>
      <c r="P823" s="8"/>
    </row>
    <row r="824">
      <c r="M824" s="8"/>
      <c r="P824" s="8"/>
    </row>
    <row r="825">
      <c r="M825" s="8"/>
      <c r="P825" s="8"/>
    </row>
    <row r="826">
      <c r="M826" s="8"/>
      <c r="P826" s="8"/>
    </row>
    <row r="827">
      <c r="M827" s="8"/>
      <c r="P827" s="8"/>
    </row>
    <row r="828">
      <c r="M828" s="8"/>
      <c r="P828" s="8"/>
    </row>
    <row r="829">
      <c r="M829" s="8"/>
      <c r="P829" s="8"/>
    </row>
    <row r="830">
      <c r="M830" s="8"/>
      <c r="P830" s="8"/>
    </row>
    <row r="831">
      <c r="M831" s="8"/>
      <c r="P831" s="8"/>
    </row>
    <row r="832">
      <c r="M832" s="8"/>
      <c r="P832" s="8"/>
    </row>
    <row r="833">
      <c r="M833" s="8"/>
      <c r="P833" s="8"/>
    </row>
    <row r="834">
      <c r="M834" s="8"/>
      <c r="P834" s="8"/>
    </row>
    <row r="835">
      <c r="M835" s="8"/>
      <c r="P835" s="8"/>
    </row>
    <row r="836">
      <c r="M836" s="8"/>
      <c r="P836" s="8"/>
    </row>
    <row r="837">
      <c r="M837" s="8"/>
      <c r="P837" s="8"/>
    </row>
    <row r="838">
      <c r="M838" s="8"/>
      <c r="P838" s="8"/>
    </row>
    <row r="839">
      <c r="M839" s="8"/>
      <c r="P839" s="8"/>
    </row>
    <row r="840">
      <c r="M840" s="8"/>
      <c r="P840" s="8"/>
    </row>
    <row r="841">
      <c r="M841" s="8"/>
      <c r="P841" s="8"/>
    </row>
    <row r="842">
      <c r="M842" s="8"/>
      <c r="P842" s="8"/>
    </row>
    <row r="843">
      <c r="M843" s="8"/>
      <c r="P843" s="8"/>
    </row>
    <row r="844">
      <c r="M844" s="8"/>
      <c r="P844" s="8"/>
    </row>
    <row r="845">
      <c r="M845" s="8"/>
      <c r="P845" s="8"/>
    </row>
    <row r="846">
      <c r="M846" s="8"/>
      <c r="P846" s="8"/>
    </row>
    <row r="847">
      <c r="M847" s="8"/>
      <c r="P847" s="8"/>
    </row>
    <row r="848">
      <c r="M848" s="8"/>
      <c r="P848" s="8"/>
    </row>
    <row r="849">
      <c r="M849" s="8"/>
      <c r="P849" s="8"/>
    </row>
    <row r="850">
      <c r="M850" s="8"/>
      <c r="P850" s="8"/>
    </row>
    <row r="851">
      <c r="M851" s="8"/>
      <c r="P851" s="8"/>
    </row>
    <row r="852">
      <c r="M852" s="8"/>
      <c r="P852" s="8"/>
    </row>
    <row r="853">
      <c r="M853" s="8"/>
      <c r="P853" s="8"/>
    </row>
    <row r="854">
      <c r="M854" s="8"/>
      <c r="P854" s="8"/>
    </row>
    <row r="855">
      <c r="M855" s="8"/>
      <c r="P855" s="8"/>
    </row>
    <row r="856">
      <c r="M856" s="8"/>
      <c r="P856" s="8"/>
    </row>
    <row r="857">
      <c r="M857" s="8"/>
      <c r="P857" s="8"/>
    </row>
    <row r="858">
      <c r="M858" s="8"/>
      <c r="P858" s="8"/>
    </row>
    <row r="859">
      <c r="M859" s="8"/>
      <c r="P859" s="8"/>
    </row>
    <row r="860">
      <c r="M860" s="8"/>
      <c r="P860" s="8"/>
    </row>
    <row r="861">
      <c r="M861" s="8"/>
      <c r="P861" s="8"/>
    </row>
    <row r="862">
      <c r="M862" s="8"/>
      <c r="P862" s="8"/>
    </row>
    <row r="863">
      <c r="M863" s="8"/>
      <c r="P863" s="8"/>
    </row>
    <row r="864">
      <c r="M864" s="8"/>
      <c r="P864" s="8"/>
    </row>
    <row r="865">
      <c r="M865" s="8"/>
      <c r="P865" s="8"/>
    </row>
    <row r="866">
      <c r="M866" s="8"/>
      <c r="P866" s="8"/>
    </row>
    <row r="867">
      <c r="M867" s="8"/>
      <c r="P867" s="8"/>
    </row>
    <row r="868">
      <c r="M868" s="8"/>
      <c r="P868" s="8"/>
    </row>
    <row r="869">
      <c r="M869" s="8"/>
      <c r="P869" s="8"/>
    </row>
    <row r="870">
      <c r="M870" s="8"/>
      <c r="P870" s="8"/>
    </row>
    <row r="871">
      <c r="M871" s="8"/>
      <c r="P871" s="8"/>
    </row>
    <row r="872">
      <c r="M872" s="8"/>
      <c r="P872" s="8"/>
    </row>
    <row r="873">
      <c r="M873" s="8"/>
      <c r="P873" s="8"/>
    </row>
    <row r="874">
      <c r="M874" s="8"/>
      <c r="P874" s="8"/>
    </row>
    <row r="875">
      <c r="M875" s="8"/>
      <c r="P875" s="8"/>
    </row>
    <row r="876">
      <c r="M876" s="8"/>
      <c r="P876" s="8"/>
    </row>
    <row r="877">
      <c r="M877" s="8"/>
      <c r="P877" s="8"/>
    </row>
    <row r="878">
      <c r="M878" s="8"/>
      <c r="P878" s="8"/>
    </row>
    <row r="879">
      <c r="M879" s="8"/>
      <c r="P879" s="8"/>
    </row>
    <row r="880">
      <c r="M880" s="8"/>
      <c r="P880" s="8"/>
    </row>
    <row r="881">
      <c r="M881" s="8"/>
      <c r="P881" s="8"/>
    </row>
    <row r="882">
      <c r="M882" s="8"/>
      <c r="P882" s="8"/>
    </row>
    <row r="883">
      <c r="M883" s="8"/>
      <c r="P883" s="8"/>
    </row>
    <row r="884">
      <c r="M884" s="8"/>
      <c r="P884" s="8"/>
    </row>
    <row r="885">
      <c r="M885" s="8"/>
      <c r="P885" s="8"/>
    </row>
    <row r="886">
      <c r="M886" s="8"/>
      <c r="P886" s="8"/>
    </row>
    <row r="887">
      <c r="M887" s="8"/>
      <c r="P887" s="8"/>
    </row>
    <row r="888">
      <c r="M888" s="8"/>
      <c r="P888" s="8"/>
    </row>
    <row r="889">
      <c r="M889" s="8"/>
      <c r="P889" s="8"/>
    </row>
    <row r="890">
      <c r="M890" s="8"/>
      <c r="P890" s="8"/>
    </row>
    <row r="891">
      <c r="M891" s="8"/>
      <c r="P891" s="8"/>
    </row>
    <row r="892">
      <c r="M892" s="8"/>
      <c r="P892" s="8"/>
    </row>
    <row r="893">
      <c r="M893" s="8"/>
      <c r="P893" s="8"/>
    </row>
    <row r="894">
      <c r="M894" s="8"/>
      <c r="P894" s="8"/>
    </row>
    <row r="895">
      <c r="M895" s="8"/>
      <c r="P895" s="8"/>
    </row>
    <row r="896">
      <c r="M896" s="8"/>
      <c r="P896" s="8"/>
    </row>
    <row r="897">
      <c r="M897" s="8"/>
      <c r="P897" s="8"/>
    </row>
    <row r="898">
      <c r="M898" s="8"/>
      <c r="P898" s="8"/>
    </row>
    <row r="899">
      <c r="M899" s="8"/>
      <c r="P899" s="8"/>
    </row>
    <row r="900">
      <c r="M900" s="8"/>
      <c r="P900" s="8"/>
    </row>
    <row r="901">
      <c r="M901" s="8"/>
      <c r="P901" s="8"/>
    </row>
    <row r="902">
      <c r="M902" s="8"/>
      <c r="P902" s="8"/>
    </row>
    <row r="903">
      <c r="M903" s="8"/>
      <c r="P903" s="8"/>
    </row>
    <row r="904">
      <c r="M904" s="8"/>
      <c r="P904" s="8"/>
    </row>
    <row r="905">
      <c r="M905" s="8"/>
      <c r="P905" s="8"/>
    </row>
    <row r="906">
      <c r="M906" s="8"/>
      <c r="P906" s="8"/>
    </row>
    <row r="907">
      <c r="M907" s="8"/>
      <c r="P907" s="8"/>
    </row>
    <row r="908">
      <c r="M908" s="8"/>
      <c r="P908" s="8"/>
    </row>
    <row r="909">
      <c r="M909" s="8"/>
      <c r="P909" s="8"/>
    </row>
    <row r="910">
      <c r="M910" s="8"/>
      <c r="P910" s="8"/>
    </row>
    <row r="911">
      <c r="M911" s="8"/>
      <c r="P911" s="8"/>
    </row>
    <row r="912">
      <c r="M912" s="8"/>
      <c r="P912" s="8"/>
    </row>
    <row r="913">
      <c r="M913" s="8"/>
      <c r="P913" s="8"/>
    </row>
    <row r="914">
      <c r="M914" s="8"/>
      <c r="P914" s="8"/>
    </row>
    <row r="915">
      <c r="M915" s="8"/>
      <c r="P915" s="8"/>
    </row>
    <row r="916">
      <c r="M916" s="8"/>
      <c r="P916" s="8"/>
    </row>
    <row r="917">
      <c r="M917" s="8"/>
      <c r="P917" s="8"/>
    </row>
    <row r="918">
      <c r="M918" s="8"/>
      <c r="P918" s="8"/>
    </row>
    <row r="919">
      <c r="M919" s="8"/>
      <c r="P919" s="8"/>
    </row>
    <row r="920">
      <c r="M920" s="8"/>
      <c r="P920" s="8"/>
    </row>
    <row r="921">
      <c r="M921" s="8"/>
      <c r="P921" s="8"/>
    </row>
    <row r="922">
      <c r="M922" s="8"/>
      <c r="P922" s="8"/>
    </row>
    <row r="923">
      <c r="M923" s="8"/>
      <c r="P923" s="8"/>
    </row>
    <row r="924">
      <c r="M924" s="8"/>
      <c r="P924" s="8"/>
    </row>
    <row r="925">
      <c r="M925" s="8"/>
      <c r="P925" s="8"/>
    </row>
    <row r="926">
      <c r="M926" s="8"/>
      <c r="P926" s="8"/>
    </row>
    <row r="927">
      <c r="M927" s="8"/>
      <c r="P927" s="8"/>
    </row>
    <row r="928">
      <c r="M928" s="8"/>
      <c r="P928" s="8"/>
    </row>
    <row r="929">
      <c r="M929" s="8"/>
      <c r="P929" s="8"/>
    </row>
    <row r="930">
      <c r="M930" s="8"/>
      <c r="P930" s="8"/>
    </row>
    <row r="931">
      <c r="M931" s="8"/>
      <c r="P931" s="8"/>
    </row>
    <row r="932">
      <c r="M932" s="8"/>
      <c r="P932" s="8"/>
    </row>
    <row r="933">
      <c r="M933" s="8"/>
      <c r="P933" s="8"/>
    </row>
    <row r="934">
      <c r="M934" s="8"/>
      <c r="P934" s="8"/>
    </row>
    <row r="935">
      <c r="M935" s="8"/>
      <c r="P935" s="8"/>
    </row>
    <row r="936">
      <c r="M936" s="8"/>
      <c r="P936" s="8"/>
    </row>
    <row r="937">
      <c r="M937" s="8"/>
      <c r="P937" s="8"/>
    </row>
    <row r="938">
      <c r="M938" s="8"/>
      <c r="P938" s="8"/>
    </row>
    <row r="939">
      <c r="M939" s="8"/>
      <c r="P939" s="8"/>
    </row>
    <row r="940">
      <c r="M940" s="8"/>
      <c r="P940" s="8"/>
    </row>
    <row r="941">
      <c r="M941" s="8"/>
      <c r="P941" s="8"/>
    </row>
    <row r="942">
      <c r="M942" s="8"/>
      <c r="P942" s="8"/>
    </row>
    <row r="943">
      <c r="M943" s="8"/>
      <c r="P943" s="8"/>
    </row>
    <row r="944">
      <c r="M944" s="8"/>
      <c r="P944" s="8"/>
    </row>
    <row r="945">
      <c r="M945" s="8"/>
      <c r="P945" s="8"/>
    </row>
    <row r="946">
      <c r="M946" s="8"/>
      <c r="P946" s="8"/>
    </row>
    <row r="947">
      <c r="M947" s="8"/>
      <c r="P947" s="8"/>
    </row>
    <row r="948">
      <c r="M948" s="8"/>
      <c r="P948" s="8"/>
    </row>
    <row r="949">
      <c r="M949" s="8"/>
      <c r="P949" s="8"/>
    </row>
    <row r="950">
      <c r="M950" s="8"/>
      <c r="P950" s="8"/>
    </row>
    <row r="951">
      <c r="M951" s="8"/>
      <c r="P951" s="8"/>
    </row>
    <row r="952">
      <c r="M952" s="8"/>
      <c r="P952" s="8"/>
    </row>
    <row r="953">
      <c r="M953" s="8"/>
      <c r="P953" s="8"/>
    </row>
    <row r="954">
      <c r="M954" s="8"/>
      <c r="P954" s="8"/>
    </row>
    <row r="955">
      <c r="M955" s="8"/>
      <c r="P955" s="8"/>
    </row>
    <row r="956">
      <c r="M956" s="8"/>
      <c r="P956" s="8"/>
    </row>
    <row r="957">
      <c r="M957" s="8"/>
      <c r="P957" s="8"/>
    </row>
    <row r="958">
      <c r="M958" s="8"/>
      <c r="P958" s="8"/>
    </row>
    <row r="959">
      <c r="M959" s="8"/>
      <c r="P959" s="8"/>
    </row>
    <row r="960">
      <c r="M960" s="8"/>
      <c r="P960" s="8"/>
    </row>
    <row r="961">
      <c r="M961" s="8"/>
      <c r="P961" s="8"/>
    </row>
    <row r="962">
      <c r="M962" s="8"/>
      <c r="P962" s="8"/>
    </row>
    <row r="963">
      <c r="M963" s="8"/>
      <c r="P963" s="8"/>
    </row>
    <row r="964">
      <c r="M964" s="8"/>
      <c r="P964" s="8"/>
    </row>
    <row r="965">
      <c r="M965" s="8"/>
      <c r="P965" s="8"/>
    </row>
    <row r="966">
      <c r="M966" s="8"/>
      <c r="P966" s="8"/>
    </row>
    <row r="967">
      <c r="M967" s="8"/>
      <c r="P967" s="8"/>
    </row>
    <row r="968">
      <c r="M968" s="8"/>
      <c r="P968" s="8"/>
    </row>
    <row r="969">
      <c r="M969" s="8"/>
      <c r="P969" s="8"/>
    </row>
    <row r="970">
      <c r="M970" s="8"/>
      <c r="P970" s="8"/>
    </row>
    <row r="971">
      <c r="M971" s="8"/>
      <c r="P971" s="8"/>
    </row>
    <row r="972">
      <c r="M972" s="8"/>
      <c r="P972" s="8"/>
    </row>
    <row r="973">
      <c r="M973" s="8"/>
      <c r="P973" s="8"/>
    </row>
    <row r="974">
      <c r="M974" s="8"/>
      <c r="P974" s="8"/>
    </row>
    <row r="975">
      <c r="M975" s="8"/>
      <c r="P975" s="8"/>
    </row>
    <row r="976">
      <c r="M976" s="8"/>
      <c r="P976" s="8"/>
    </row>
    <row r="977">
      <c r="M977" s="8"/>
      <c r="P977" s="8"/>
    </row>
    <row r="978">
      <c r="M978" s="8"/>
      <c r="P978" s="8"/>
    </row>
    <row r="979">
      <c r="M979" s="8"/>
      <c r="P979" s="8"/>
    </row>
    <row r="980">
      <c r="M980" s="8"/>
      <c r="P980" s="8"/>
    </row>
    <row r="981">
      <c r="M981" s="8"/>
      <c r="P981" s="8"/>
    </row>
    <row r="982">
      <c r="M982" s="8"/>
      <c r="P982" s="8"/>
    </row>
    <row r="983">
      <c r="M983" s="8"/>
      <c r="P983" s="8"/>
    </row>
    <row r="984">
      <c r="M984" s="8"/>
      <c r="P984" s="8"/>
    </row>
    <row r="985">
      <c r="M985" s="8"/>
      <c r="P985" s="8"/>
    </row>
    <row r="986">
      <c r="M986" s="8"/>
      <c r="P986" s="8"/>
    </row>
    <row r="987">
      <c r="M987" s="8"/>
      <c r="P987" s="8"/>
    </row>
    <row r="988">
      <c r="M988" s="8"/>
      <c r="P988" s="8"/>
    </row>
    <row r="989">
      <c r="M989" s="8"/>
      <c r="P989" s="8"/>
    </row>
    <row r="990">
      <c r="M990" s="8"/>
      <c r="P990" s="8"/>
    </row>
    <row r="991">
      <c r="M991" s="8"/>
      <c r="P991" s="8"/>
    </row>
    <row r="992">
      <c r="M992" s="8"/>
      <c r="P992" s="8"/>
    </row>
    <row r="993">
      <c r="M993" s="8"/>
      <c r="P993" s="8"/>
    </row>
    <row r="994">
      <c r="M994" s="8"/>
      <c r="P994" s="8"/>
    </row>
    <row r="995">
      <c r="M995" s="8"/>
      <c r="P995" s="8"/>
    </row>
    <row r="996">
      <c r="M996" s="8"/>
      <c r="P996" s="8"/>
    </row>
    <row r="997">
      <c r="M997" s="8"/>
      <c r="P997" s="8"/>
    </row>
    <row r="998">
      <c r="M998" s="8"/>
      <c r="P998" s="8"/>
    </row>
    <row r="999">
      <c r="M999" s="8"/>
      <c r="P999" s="8"/>
    </row>
    <row r="1000">
      <c r="M1000" s="8"/>
      <c r="P1000" s="8"/>
    </row>
  </sheetData>
  <customSheetViews>
    <customSheetView guid="{BA86293A-6E21-4B57-9EF3-716588DFB281}" filter="1" showAutoFilter="1">
      <autoFilter ref="$A$1:$M$26"/>
    </customSheetView>
  </customSheetViews>
  <conditionalFormatting sqref="L1:L1000">
    <cfRule type="containsText" dxfId="1" priority="1" operator="containsText" text="RİSKLİ">
      <formula>NOT(ISERROR(SEARCH(("RİSKLİ"),(L1))))</formula>
    </cfRule>
  </conditionalFormatting>
  <conditionalFormatting sqref="L1:L1000">
    <cfRule type="containsText" dxfId="2" priority="2" operator="containsText" text="Güvenli">
      <formula>NOT(ISERROR(SEARCH(("Güvenli"),(L1))))</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extLst>
    <ext uri="{3A4CF648-6AED-40f4-86FF-DC5316D8AED3}">
      <x14:slicerList>
        <x14:slicer r:id="rId3"/>
      </x14:slicerList>
    </ext>
  </extLst>
</worksheet>
</file>